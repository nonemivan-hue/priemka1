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0560"/>
  </bookViews>
  <sheets>
    <sheet name="стр.2_3" sheetId="1" r:id="rId1"/>
  </sheets>
  <externalReferences>
    <externalReference r:id="rId2"/>
    <externalReference r:id="rId3"/>
  </externalReferences>
  <definedNames>
    <definedName name="_xlnm.Print_Area" localSheetId="0">стр.2_3!$A$1:$FE$70</definedName>
  </definedNames>
  <calcPr calcId="144525"/>
</workbook>
</file>

<file path=xl/calcChain.xml><?xml version="1.0" encoding="utf-8"?>
<calcChain xmlns="http://schemas.openxmlformats.org/spreadsheetml/2006/main">
  <c r="CC33" i="1" l="1"/>
  <c r="DD33" i="1" s="1"/>
  <c r="DD35" i="1" s="1"/>
  <c r="F34" i="1"/>
  <c r="O34" i="1"/>
  <c r="AH34" i="1"/>
  <c r="AO34" i="1"/>
  <c r="AX34" i="1"/>
  <c r="BD34" i="1"/>
  <c r="CC34" i="1"/>
  <c r="CL34" i="1"/>
  <c r="CT34" i="1"/>
  <c r="AA59" i="1"/>
  <c r="BP59" i="1"/>
  <c r="C69" i="1"/>
  <c r="C64" i="1" s="1"/>
  <c r="H69" i="1"/>
  <c r="H64" i="1" s="1"/>
  <c r="Z69" i="1"/>
  <c r="Z64" i="1" s="1"/>
</calcChain>
</file>

<file path=xl/sharedStrings.xml><?xml version="1.0" encoding="utf-8"?>
<sst xmlns="http://schemas.openxmlformats.org/spreadsheetml/2006/main" count="171" uniqueCount="102">
  <si>
    <t xml:space="preserve"> г.</t>
  </si>
  <si>
    <t>"</t>
  </si>
  <si>
    <t>(расшифровка подписи)</t>
  </si>
  <si>
    <t>(подпись)</t>
  </si>
  <si>
    <t>(должность)</t>
  </si>
  <si>
    <t>И.Н. Харольская</t>
  </si>
  <si>
    <t>Руководитель</t>
  </si>
  <si>
    <t>Товары, работы, услуги приняты</t>
  </si>
  <si>
    <t>(подрядчика)</t>
  </si>
  <si>
    <t>Представитель поставщика</t>
  </si>
  <si>
    <t>(электронный адрес)</t>
  </si>
  <si>
    <t>(номер контактного телефона)</t>
  </si>
  <si>
    <t>uszn_gelen@mtsr.krasnodar.ru</t>
  </si>
  <si>
    <t>8-86141-5-42-56</t>
  </si>
  <si>
    <t>Ответственный исполнитель</t>
  </si>
  <si>
    <t>Т.А. Маркарова</t>
  </si>
  <si>
    <t>Начальник отдела назначения</t>
  </si>
  <si>
    <t>И.А. Трощенко</t>
  </si>
  <si>
    <t>Главный специалист,системный администратор</t>
  </si>
  <si>
    <t>Л.В. Литвиненко</t>
  </si>
  <si>
    <t>Ведущий специалист</t>
  </si>
  <si>
    <t>Члены комиссии:</t>
  </si>
  <si>
    <t>С.А. Ребецкая</t>
  </si>
  <si>
    <t>Начальник отдела</t>
  </si>
  <si>
    <t>Председатель комиссии</t>
  </si>
  <si>
    <t>(имя файла.pdf)</t>
  </si>
  <si>
    <t>(наименование документа)</t>
  </si>
  <si>
    <t xml:space="preserve">№ </t>
  </si>
  <si>
    <t>Приложение</t>
  </si>
  <si>
    <t>АКТ сдачи-приемки оказанных услуг № б/н от 31.05.2026 г.</t>
  </si>
  <si>
    <t>1</t>
  </si>
  <si>
    <t>Итого</t>
  </si>
  <si>
    <t xml:space="preserve">Итого </t>
  </si>
  <si>
    <t>краткое наиме-
нование</t>
  </si>
  <si>
    <t>цифровой код</t>
  </si>
  <si>
    <t>стоимость товаров (работ, услуг), с НДС</t>
  </si>
  <si>
    <t>количество (объем)</t>
  </si>
  <si>
    <t>стоимость товаров, с НДС</t>
  </si>
  <si>
    <t>количество</t>
  </si>
  <si>
    <t>прочее</t>
  </si>
  <si>
    <t>несоответствие требованиям, функциональным и техническим характеристикам</t>
  </si>
  <si>
    <t>регистрационный номер декларации на товары/
регистрационный номер партии товара, подлежащего прослеживаемости, 
не соответствующий номеру, заявленному 
в перевозочных 
документах</t>
  </si>
  <si>
    <t>несоответствие страны происхождения товара</t>
  </si>
  <si>
    <t>брак и бой</t>
  </si>
  <si>
    <t>излишки</t>
  </si>
  <si>
    <t>недостача</t>
  </si>
  <si>
    <t>В том числе отклонения по качеству</t>
  </si>
  <si>
    <t>В том числе отклонения по количеству</t>
  </si>
  <si>
    <t>Всего отклонений по количеству и качеству</t>
  </si>
  <si>
    <t>Наименование товара (описание выполненных работ, оказанных услуг)</t>
  </si>
  <si>
    <t>Код товара/
работ, услуг</t>
  </si>
  <si>
    <t>Код
строки</t>
  </si>
  <si>
    <t>5. Сведения о количественном и качественном расхождении при приемке товаров, работ, услуг</t>
  </si>
  <si>
    <t>без НДС</t>
  </si>
  <si>
    <t>Россия</t>
  </si>
  <si>
    <t>Услуги по уборке помещений (клининговые услуги)</t>
  </si>
  <si>
    <t xml:space="preserve">81.29.19.000 </t>
  </si>
  <si>
    <t>условное обозначение 
(националь-ное)</t>
  </si>
  <si>
    <t>код по ОКЕИ</t>
  </si>
  <si>
    <t>краткое 
наиме-
нование</t>
  </si>
  <si>
    <t>в том числе количество (объем) фактически принятого товара, работы, услуги, не соответству-ющие качеству</t>
  </si>
  <si>
    <t>всего</t>
  </si>
  <si>
    <t>номер сертификата соответствия товара</t>
  </si>
  <si>
    <t>регистрационный номер декларации 
на товары/
регистрационный номер партии товара, подлежащего прослеживаемости</t>
  </si>
  <si>
    <t>сумма НДС, предъявляемая покупателю</t>
  </si>
  <si>
    <t>ставка НДС</t>
  </si>
  <si>
    <t>стоимость товаров 
(работ, услуг), 
без НДС</t>
  </si>
  <si>
    <t>цена 
(тариф) 
за единицу измерения</t>
  </si>
  <si>
    <t xml:space="preserve">Единица измерения </t>
  </si>
  <si>
    <t>Страна происхождения товара</t>
  </si>
  <si>
    <t>Наименование товара 
(описание выполненных работ, оказанных услуг)</t>
  </si>
  <si>
    <t>Отклоне-
ние по количеству (объему)</t>
  </si>
  <si>
    <t>Фактически принято</t>
  </si>
  <si>
    <t>По документам поставщика (подрядчика)</t>
  </si>
  <si>
    <t>Форма 0510452 с. 3</t>
  </si>
  <si>
    <t>4. Сведения о приемке товаров, работ, услуг</t>
  </si>
  <si>
    <t>в пункте прибытия</t>
  </si>
  <si>
    <t>в пункте отправления</t>
  </si>
  <si>
    <t>наименование</t>
  </si>
  <si>
    <t>Условия хранения товара 
на складе получателя</t>
  </si>
  <si>
    <t>Товары, содержащиеся в упаковке (таре), 
по маркировке</t>
  </si>
  <si>
    <t>Масса груза, т</t>
  </si>
  <si>
    <t>Количество мест груза</t>
  </si>
  <si>
    <t>Способ измерения (взвешивание, счет мест, обмер и т.п.)</t>
  </si>
  <si>
    <t>Состояние 
упаковки или тары 
при приемке</t>
  </si>
  <si>
    <t>Вид упаковки 
или тары</t>
  </si>
  <si>
    <t>Целостность опломбирования</t>
  </si>
  <si>
    <t>3. Сведения о целостности пломб, упаковки, количестве мест и массе груза</t>
  </si>
  <si>
    <t>окончание</t>
  </si>
  <si>
    <t>начало</t>
  </si>
  <si>
    <t>время</t>
  </si>
  <si>
    <t>дата</t>
  </si>
  <si>
    <t xml:space="preserve"> доставка на склад получателя</t>
  </si>
  <si>
    <t>вскрытие вагона (других транспортных средств)</t>
  </si>
  <si>
    <t xml:space="preserve"> выдача груза транспортной организацией</t>
  </si>
  <si>
    <t>прибытие на место назначения 
(станция, пристань)</t>
  </si>
  <si>
    <t>отправка груза со станции 
(пристани, порта)</t>
  </si>
  <si>
    <t>Место составления Акта приемки товаров, работ, услуг (ф. 0510452)</t>
  </si>
  <si>
    <t>Время приемки (час. мин.)</t>
  </si>
  <si>
    <t>Информация о транспортировке груза</t>
  </si>
  <si>
    <t>Форма 0510452 с. 2</t>
  </si>
  <si>
    <t>2. Сведения о транспортировке и приемке груза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</si>
</sst>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#,##0.00_ ;\-#,##0.00\ "/>
    <numFmt numFmtId="165" formatCode="_(&quot;р.&quot;* #,##0.00_);_(&quot;р.&quot;* \(#,##0.00\);_(&quot;р.&quot;* &quot;-&quot;??_);_(@_)"/>
    <numFmt numFmtId="166" formatCode="_-* #,##0.00&quot;р.&quot;_-;\-* #,##0.00&quot;р.&quot;_-;_-* &quot;-&quot;??&quot;р.&quot;_-;_-@_-"/>
    <numFmt numFmtId="167" formatCode="_-* #,##0.00\ &quot;р.&quot;_-;\-* #,##0.00\ &quot;р.&quot;_-;_-* &quot;-&quot;??\ &quot;р.&quot;_-;_-@_-"/>
  </numFmts>
  <fonts count="22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7"/>
      <name val="Times New Roman"/>
      <family val="1"/>
      <charset val="204"/>
    </font>
    <font>
      <sz val="6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u/>
      <sz val="11"/>
      <color theme="10"/>
      <name val="Times New Roman"/>
      <family val="2"/>
      <charset val="204"/>
    </font>
    <font>
      <sz val="6"/>
      <name val="Times New Roman"/>
      <family val="1"/>
      <charset val="204"/>
    </font>
    <font>
      <b/>
      <sz val="7"/>
      <name val="Times New Roman"/>
      <family val="1"/>
      <charset val="204"/>
    </font>
    <font>
      <u/>
      <sz val="6"/>
      <name val="Times New Roman"/>
      <family val="1"/>
      <charset val="204"/>
    </font>
    <font>
      <sz val="7"/>
      <color indexed="8"/>
      <name val="Times New Roman"/>
      <family val="2"/>
      <charset val="204"/>
    </font>
    <font>
      <sz val="8"/>
      <color indexed="8"/>
      <name val="Times New Roman"/>
      <family val="2"/>
      <charset val="204"/>
    </font>
    <font>
      <sz val="8"/>
      <name val="Times New Roman"/>
      <family val="1"/>
      <charset val="204"/>
    </font>
    <font>
      <sz val="6"/>
      <color theme="0" tint="-0.34998626667073579"/>
      <name val="Times New Roman"/>
      <family val="1"/>
      <charset val="204"/>
    </font>
    <font>
      <sz val="10"/>
      <color theme="0" tint="-0.34998626667073579"/>
      <name val="Times New Roman"/>
      <family val="1"/>
      <charset val="204"/>
    </font>
    <font>
      <sz val="7"/>
      <color theme="0" tint="-0.34998626667073579"/>
      <name val="Times New Roman"/>
      <family val="1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43" fontId="4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>
      <alignment vertical="top"/>
      <protection locked="0"/>
    </xf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1" fillId="0" borderId="0"/>
  </cellStyleXfs>
  <cellXfs count="172">
    <xf numFmtId="0" fontId="0" fillId="0" borderId="0" xfId="0"/>
    <xf numFmtId="0" fontId="3" fillId="0" borderId="0" xfId="2" applyFont="1" applyFill="1"/>
    <xf numFmtId="0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top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5" fillId="0" borderId="0" xfId="2" applyFont="1" applyFill="1" applyAlignment="1">
      <alignment horizontal="left"/>
    </xf>
    <xf numFmtId="0" fontId="5" fillId="0" borderId="0" xfId="2" applyFont="1" applyFill="1" applyBorder="1" applyAlignment="1">
      <alignment horizontal="center"/>
    </xf>
    <xf numFmtId="0" fontId="9" fillId="0" borderId="0" xfId="2" applyFont="1" applyFill="1" applyAlignment="1">
      <alignment horizontal="left"/>
    </xf>
    <xf numFmtId="0" fontId="9" fillId="0" borderId="0" xfId="2" applyFont="1" applyFill="1" applyAlignment="1">
      <alignment horizontal="center" vertical="top"/>
    </xf>
    <xf numFmtId="0" fontId="9" fillId="0" borderId="0" xfId="2" applyFont="1" applyFill="1" applyAlignment="1">
      <alignment horizontal="center" vertical="center" wrapText="1"/>
    </xf>
    <xf numFmtId="0" fontId="10" fillId="0" borderId="0" xfId="2" applyFont="1" applyFill="1" applyAlignment="1">
      <alignment horizontal="left"/>
    </xf>
    <xf numFmtId="0" fontId="3" fillId="0" borderId="0" xfId="2" applyFont="1" applyFill="1" applyAlignment="1">
      <alignment horizontal="left"/>
    </xf>
    <xf numFmtId="0" fontId="5" fillId="0" borderId="0" xfId="2" applyFont="1" applyFill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Border="1"/>
    <xf numFmtId="0" fontId="9" fillId="0" borderId="0" xfId="2" applyFont="1" applyFill="1" applyAlignment="1">
      <alignment vertical="center"/>
    </xf>
    <xf numFmtId="0" fontId="9" fillId="0" borderId="0" xfId="2" applyNumberFormat="1" applyFont="1" applyFill="1" applyAlignment="1">
      <alignment horizontal="center" vertical="top"/>
    </xf>
    <xf numFmtId="0" fontId="9" fillId="0" borderId="0" xfId="2" applyFont="1" applyFill="1"/>
    <xf numFmtId="0" fontId="14" fillId="0" borderId="0" xfId="2" applyFont="1" applyFill="1"/>
    <xf numFmtId="0" fontId="14" fillId="0" borderId="0" xfId="2" applyFont="1" applyFill="1" applyBorder="1" applyAlignment="1">
      <alignment horizontal="left" wrapText="1"/>
    </xf>
    <xf numFmtId="0" fontId="14" fillId="0" borderId="0" xfId="2" applyFont="1" applyFill="1" applyBorder="1" applyAlignment="1">
      <alignment horizontal="center" wrapText="1"/>
    </xf>
    <xf numFmtId="49" fontId="14" fillId="0" borderId="0" xfId="2" applyNumberFormat="1" applyFont="1" applyFill="1" applyBorder="1" applyAlignment="1">
      <alignment horizontal="center"/>
    </xf>
    <xf numFmtId="0" fontId="15" fillId="0" borderId="0" xfId="2" applyFont="1" applyFill="1"/>
    <xf numFmtId="0" fontId="16" fillId="0" borderId="0" xfId="2" applyFont="1" applyFill="1"/>
    <xf numFmtId="0" fontId="17" fillId="0" borderId="0" xfId="2" applyFont="1" applyFill="1" applyAlignment="1">
      <alignment horizontal="left"/>
    </xf>
    <xf numFmtId="14" fontId="17" fillId="0" borderId="0" xfId="2" applyNumberFormat="1" applyFont="1" applyFill="1" applyAlignment="1">
      <alignment horizontal="left"/>
    </xf>
    <xf numFmtId="0" fontId="7" fillId="0" borderId="0" xfId="0" applyFont="1" applyAlignment="1">
      <alignment horizontal="right"/>
    </xf>
    <xf numFmtId="0" fontId="12" fillId="0" borderId="0" xfId="0" applyFont="1"/>
    <xf numFmtId="0" fontId="9" fillId="0" borderId="22" xfId="2" applyFont="1" applyFill="1" applyBorder="1" applyAlignment="1">
      <alignment horizontal="center" vertical="center" wrapText="1"/>
    </xf>
    <xf numFmtId="0" fontId="9" fillId="0" borderId="21" xfId="2" applyFont="1" applyFill="1" applyBorder="1" applyAlignment="1">
      <alignment horizontal="center" vertical="center" wrapText="1"/>
    </xf>
    <xf numFmtId="0" fontId="9" fillId="0" borderId="20" xfId="2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right"/>
    </xf>
    <xf numFmtId="49" fontId="5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/>
    </xf>
    <xf numFmtId="0" fontId="9" fillId="0" borderId="16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17" xfId="2" applyFont="1" applyFill="1" applyBorder="1" applyAlignment="1">
      <alignment horizontal="center" vertical="center" wrapText="1"/>
    </xf>
    <xf numFmtId="0" fontId="9" fillId="0" borderId="25" xfId="2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center" vertical="center" wrapText="1"/>
    </xf>
    <xf numFmtId="0" fontId="9" fillId="0" borderId="24" xfId="2" applyFont="1" applyFill="1" applyBorder="1" applyAlignment="1">
      <alignment horizontal="center" vertical="center" wrapText="1"/>
    </xf>
    <xf numFmtId="0" fontId="9" fillId="0" borderId="18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19" xfId="2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0" fontId="9" fillId="0" borderId="16" xfId="2" applyFont="1" applyFill="1" applyBorder="1" applyAlignment="1">
      <alignment horizontal="center" vertical="top"/>
    </xf>
    <xf numFmtId="0" fontId="9" fillId="0" borderId="2" xfId="2" applyFont="1" applyFill="1" applyBorder="1" applyAlignment="1">
      <alignment horizontal="center" vertical="top"/>
    </xf>
    <xf numFmtId="0" fontId="9" fillId="0" borderId="17" xfId="2" applyFont="1" applyFill="1" applyBorder="1" applyAlignment="1">
      <alignment horizontal="center" vertical="top"/>
    </xf>
    <xf numFmtId="0" fontId="9" fillId="0" borderId="13" xfId="2" applyNumberFormat="1" applyFont="1" applyFill="1" applyBorder="1" applyAlignment="1">
      <alignment horizontal="center"/>
    </xf>
    <xf numFmtId="0" fontId="9" fillId="0" borderId="12" xfId="2" applyNumberFormat="1" applyFont="1" applyFill="1" applyBorder="1" applyAlignment="1">
      <alignment horizontal="center"/>
    </xf>
    <xf numFmtId="0" fontId="9" fillId="0" borderId="14" xfId="2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/>
    </xf>
    <xf numFmtId="0" fontId="5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center" wrapText="1" shrinkToFit="1"/>
    </xf>
    <xf numFmtId="0" fontId="6" fillId="0" borderId="2" xfId="0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9" fillId="2" borderId="34" xfId="2" applyNumberFormat="1" applyFont="1" applyFill="1" applyBorder="1" applyAlignment="1">
      <alignment horizontal="center"/>
    </xf>
    <xf numFmtId="49" fontId="9" fillId="2" borderId="33" xfId="2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3" fontId="9" fillId="2" borderId="33" xfId="1" applyFont="1" applyFill="1" applyBorder="1" applyAlignment="1">
      <alignment horizontal="center"/>
    </xf>
    <xf numFmtId="43" fontId="9" fillId="0" borderId="30" xfId="1" applyFont="1" applyFill="1" applyBorder="1" applyAlignment="1">
      <alignment horizontal="center"/>
    </xf>
    <xf numFmtId="49" fontId="9" fillId="0" borderId="30" xfId="2" applyNumberFormat="1" applyFont="1" applyFill="1" applyBorder="1" applyAlignment="1">
      <alignment horizontal="center"/>
    </xf>
    <xf numFmtId="0" fontId="9" fillId="0" borderId="30" xfId="2" applyFont="1" applyFill="1" applyBorder="1" applyAlignment="1">
      <alignment horizontal="center"/>
    </xf>
    <xf numFmtId="10" fontId="9" fillId="2" borderId="33" xfId="2" applyNumberFormat="1" applyFont="1" applyFill="1" applyBorder="1" applyAlignment="1">
      <alignment horizontal="center"/>
    </xf>
    <xf numFmtId="10" fontId="9" fillId="0" borderId="30" xfId="2" applyNumberFormat="1" applyFont="1" applyFill="1" applyBorder="1" applyAlignment="1">
      <alignment horizontal="center"/>
    </xf>
    <xf numFmtId="164" fontId="9" fillId="2" borderId="33" xfId="1" applyNumberFormat="1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 vertical="top"/>
    </xf>
    <xf numFmtId="0" fontId="9" fillId="0" borderId="7" xfId="2" applyFont="1" applyFill="1" applyBorder="1" applyAlignment="1">
      <alignment horizontal="center" vertical="top"/>
    </xf>
    <xf numFmtId="0" fontId="9" fillId="0" borderId="9" xfId="2" applyFont="1" applyFill="1" applyBorder="1" applyAlignment="1">
      <alignment horizontal="center" vertical="top"/>
    </xf>
    <xf numFmtId="0" fontId="9" fillId="2" borderId="33" xfId="2" applyNumberFormat="1" applyFont="1" applyFill="1" applyBorder="1" applyAlignment="1">
      <alignment horizontal="center"/>
    </xf>
    <xf numFmtId="49" fontId="9" fillId="0" borderId="5" xfId="2" applyNumberFormat="1" applyFont="1" applyFill="1" applyBorder="1" applyAlignment="1">
      <alignment horizontal="center" vertical="center"/>
    </xf>
    <xf numFmtId="49" fontId="9" fillId="0" borderId="4" xfId="2" applyNumberFormat="1" applyFont="1" applyFill="1" applyBorder="1" applyAlignment="1">
      <alignment horizontal="center" vertical="center"/>
    </xf>
    <xf numFmtId="49" fontId="9" fillId="0" borderId="36" xfId="2" applyNumberFormat="1" applyFont="1" applyFill="1" applyBorder="1" applyAlignment="1">
      <alignment horizontal="center" vertical="center"/>
    </xf>
    <xf numFmtId="0" fontId="9" fillId="0" borderId="39" xfId="2" applyFont="1" applyFill="1" applyBorder="1" applyAlignment="1">
      <alignment horizontal="center" vertical="center" wrapText="1"/>
    </xf>
    <xf numFmtId="0" fontId="9" fillId="0" borderId="38" xfId="2" applyNumberFormat="1" applyFont="1" applyFill="1" applyBorder="1" applyAlignment="1">
      <alignment horizontal="center" vertical="top"/>
    </xf>
    <xf numFmtId="49" fontId="9" fillId="0" borderId="37" xfId="2" applyNumberFormat="1" applyFont="1" applyFill="1" applyBorder="1" applyAlignment="1">
      <alignment horizontal="center" vertical="center"/>
    </xf>
    <xf numFmtId="0" fontId="9" fillId="0" borderId="16" xfId="2" applyNumberFormat="1" applyFont="1" applyFill="1" applyBorder="1" applyAlignment="1">
      <alignment horizontal="center" vertical="top"/>
    </xf>
    <xf numFmtId="0" fontId="9" fillId="0" borderId="2" xfId="2" applyNumberFormat="1" applyFont="1" applyFill="1" applyBorder="1" applyAlignment="1">
      <alignment horizontal="center" vertical="top"/>
    </xf>
    <xf numFmtId="0" fontId="9" fillId="0" borderId="17" xfId="2" applyNumberFormat="1" applyFont="1" applyFill="1" applyBorder="1" applyAlignment="1">
      <alignment horizontal="center" vertical="top"/>
    </xf>
    <xf numFmtId="0" fontId="9" fillId="0" borderId="16" xfId="2" applyFont="1" applyFill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/>
    </xf>
    <xf numFmtId="0" fontId="9" fillId="0" borderId="17" xfId="2" applyFont="1" applyFill="1" applyBorder="1" applyAlignment="1">
      <alignment horizontal="center" vertical="center"/>
    </xf>
    <xf numFmtId="0" fontId="9" fillId="0" borderId="18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/>
    </xf>
    <xf numFmtId="0" fontId="9" fillId="0" borderId="8" xfId="2" applyNumberFormat="1" applyFont="1" applyFill="1" applyBorder="1" applyAlignment="1">
      <alignment horizontal="center" vertical="top"/>
    </xf>
    <xf numFmtId="0" fontId="9" fillId="0" borderId="7" xfId="2" applyNumberFormat="1" applyFont="1" applyFill="1" applyBorder="1" applyAlignment="1">
      <alignment horizontal="center" vertical="top"/>
    </xf>
    <xf numFmtId="0" fontId="9" fillId="0" borderId="35" xfId="2" applyNumberFormat="1" applyFont="1" applyFill="1" applyBorder="1" applyAlignment="1">
      <alignment horizontal="center" vertical="center"/>
    </xf>
    <xf numFmtId="0" fontId="9" fillId="0" borderId="4" xfId="2" applyNumberFormat="1" applyFont="1" applyFill="1" applyBorder="1" applyAlignment="1">
      <alignment horizontal="center" vertical="center"/>
    </xf>
    <xf numFmtId="0" fontId="9" fillId="0" borderId="36" xfId="2" applyNumberFormat="1" applyFont="1" applyFill="1" applyBorder="1" applyAlignment="1">
      <alignment horizontal="center" vertical="center"/>
    </xf>
    <xf numFmtId="49" fontId="9" fillId="0" borderId="35" xfId="2" applyNumberFormat="1" applyFont="1" applyFill="1" applyBorder="1" applyAlignment="1">
      <alignment horizontal="center" vertical="center"/>
    </xf>
    <xf numFmtId="0" fontId="9" fillId="0" borderId="35" xfId="2" applyNumberFormat="1" applyFont="1" applyFill="1" applyBorder="1" applyAlignment="1">
      <alignment horizontal="left" vertical="center" wrapText="1"/>
    </xf>
    <xf numFmtId="0" fontId="9" fillId="0" borderId="4" xfId="2" applyNumberFormat="1" applyFont="1" applyFill="1" applyBorder="1" applyAlignment="1">
      <alignment horizontal="left" vertical="center" wrapText="1"/>
    </xf>
    <xf numFmtId="0" fontId="9" fillId="0" borderId="36" xfId="2" applyNumberFormat="1" applyFont="1" applyFill="1" applyBorder="1" applyAlignment="1">
      <alignment horizontal="left" vertical="center" wrapText="1"/>
    </xf>
    <xf numFmtId="0" fontId="9" fillId="0" borderId="35" xfId="2" applyNumberFormat="1" applyFont="1" applyFill="1" applyBorder="1" applyAlignment="1">
      <alignment horizontal="center" vertical="center" wrapText="1"/>
    </xf>
    <xf numFmtId="0" fontId="9" fillId="0" borderId="4" xfId="2" applyNumberFormat="1" applyFont="1" applyFill="1" applyBorder="1" applyAlignment="1">
      <alignment horizontal="center" vertical="center" wrapText="1"/>
    </xf>
    <xf numFmtId="0" fontId="9" fillId="0" borderId="36" xfId="2" applyNumberFormat="1" applyFont="1" applyFill="1" applyBorder="1" applyAlignment="1">
      <alignment horizontal="center" vertical="center" wrapText="1"/>
    </xf>
    <xf numFmtId="0" fontId="9" fillId="0" borderId="30" xfId="2" applyNumberFormat="1" applyFont="1" applyFill="1" applyBorder="1" applyAlignment="1">
      <alignment horizontal="center"/>
    </xf>
    <xf numFmtId="49" fontId="9" fillId="0" borderId="31" xfId="2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49" fontId="9" fillId="0" borderId="13" xfId="2" applyNumberFormat="1" applyFont="1" applyFill="1" applyBorder="1" applyAlignment="1">
      <alignment horizontal="center"/>
    </xf>
    <xf numFmtId="49" fontId="9" fillId="0" borderId="12" xfId="2" applyNumberFormat="1" applyFont="1" applyFill="1" applyBorder="1" applyAlignment="1">
      <alignment horizontal="center"/>
    </xf>
    <xf numFmtId="49" fontId="9" fillId="0" borderId="14" xfId="2" applyNumberFormat="1" applyFont="1" applyFill="1" applyBorder="1" applyAlignment="1">
      <alignment horizontal="center"/>
    </xf>
    <xf numFmtId="0" fontId="5" fillId="0" borderId="5" xfId="2" applyNumberFormat="1" applyFont="1" applyFill="1" applyBorder="1" applyAlignment="1">
      <alignment horizontal="center"/>
    </xf>
    <xf numFmtId="0" fontId="5" fillId="0" borderId="4" xfId="2" applyNumberFormat="1" applyFont="1" applyFill="1" applyBorder="1" applyAlignment="1">
      <alignment horizontal="center"/>
    </xf>
    <xf numFmtId="0" fontId="5" fillId="0" borderId="3" xfId="2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wrapText="1"/>
    </xf>
    <xf numFmtId="0" fontId="9" fillId="0" borderId="7" xfId="2" applyNumberFormat="1" applyFont="1" applyFill="1" applyBorder="1" applyAlignment="1">
      <alignment horizontal="center"/>
    </xf>
    <xf numFmtId="0" fontId="9" fillId="0" borderId="8" xfId="2" applyNumberFormat="1" applyFont="1" applyFill="1" applyBorder="1" applyAlignment="1">
      <alignment horizontal="center"/>
    </xf>
    <xf numFmtId="0" fontId="9" fillId="0" borderId="9" xfId="2" applyNumberFormat="1" applyFont="1" applyFill="1" applyBorder="1" applyAlignment="1">
      <alignment horizontal="center"/>
    </xf>
    <xf numFmtId="0" fontId="9" fillId="0" borderId="22" xfId="2" applyFont="1" applyFill="1" applyBorder="1" applyAlignment="1">
      <alignment horizontal="center" vertical="center"/>
    </xf>
    <xf numFmtId="0" fontId="9" fillId="0" borderId="21" xfId="2" applyFont="1" applyFill="1" applyBorder="1" applyAlignment="1">
      <alignment horizontal="center" vertical="center"/>
    </xf>
    <xf numFmtId="0" fontId="9" fillId="0" borderId="20" xfId="2" applyFont="1" applyFill="1" applyBorder="1" applyAlignment="1">
      <alignment horizontal="center" vertical="center"/>
    </xf>
    <xf numFmtId="49" fontId="9" fillId="0" borderId="8" xfId="2" applyNumberFormat="1" applyFont="1" applyFill="1" applyBorder="1" applyAlignment="1">
      <alignment horizontal="center"/>
    </xf>
    <xf numFmtId="49" fontId="9" fillId="0" borderId="7" xfId="2" applyNumberFormat="1" applyFont="1" applyFill="1" applyBorder="1" applyAlignment="1">
      <alignment horizontal="center"/>
    </xf>
    <xf numFmtId="49" fontId="9" fillId="0" borderId="9" xfId="2" applyNumberFormat="1" applyFont="1" applyFill="1" applyBorder="1" applyAlignment="1">
      <alignment horizontal="center"/>
    </xf>
    <xf numFmtId="0" fontId="9" fillId="0" borderId="13" xfId="2" applyFont="1" applyFill="1" applyBorder="1" applyAlignment="1">
      <alignment horizontal="left" wrapText="1"/>
    </xf>
    <xf numFmtId="0" fontId="9" fillId="0" borderId="12" xfId="2" applyFont="1" applyFill="1" applyBorder="1" applyAlignment="1">
      <alignment horizontal="left" wrapText="1"/>
    </xf>
    <xf numFmtId="0" fontId="9" fillId="0" borderId="14" xfId="2" applyFont="1" applyFill="1" applyBorder="1" applyAlignment="1">
      <alignment horizontal="left" wrapText="1"/>
    </xf>
    <xf numFmtId="0" fontId="11" fillId="0" borderId="30" xfId="2" applyNumberFormat="1" applyFont="1" applyFill="1" applyBorder="1" applyAlignment="1">
      <alignment horizontal="center"/>
    </xf>
    <xf numFmtId="0" fontId="11" fillId="2" borderId="33" xfId="2" applyNumberFormat="1" applyFont="1" applyFill="1" applyBorder="1" applyAlignment="1">
      <alignment horizontal="center"/>
    </xf>
    <xf numFmtId="43" fontId="5" fillId="0" borderId="28" xfId="2" applyNumberFormat="1" applyFont="1" applyFill="1" applyBorder="1" applyAlignment="1">
      <alignment horizontal="center"/>
    </xf>
    <xf numFmtId="0" fontId="5" fillId="0" borderId="27" xfId="2" applyFont="1" applyFill="1" applyBorder="1" applyAlignment="1">
      <alignment horizontal="center"/>
    </xf>
    <xf numFmtId="0" fontId="5" fillId="0" borderId="26" xfId="2" applyFont="1" applyFill="1" applyBorder="1" applyAlignment="1">
      <alignment horizontal="center"/>
    </xf>
    <xf numFmtId="0" fontId="9" fillId="2" borderId="32" xfId="2" applyNumberFormat="1" applyFont="1" applyFill="1" applyBorder="1" applyAlignment="1">
      <alignment horizontal="center"/>
    </xf>
    <xf numFmtId="0" fontId="9" fillId="0" borderId="29" xfId="2" applyFont="1" applyFill="1" applyBorder="1" applyAlignment="1">
      <alignment horizontal="center"/>
    </xf>
    <xf numFmtId="0" fontId="9" fillId="0" borderId="13" xfId="2" applyNumberFormat="1" applyFont="1" applyFill="1" applyBorder="1" applyAlignment="1">
      <alignment horizontal="left" wrapText="1"/>
    </xf>
    <xf numFmtId="0" fontId="9" fillId="0" borderId="12" xfId="2" applyNumberFormat="1" applyFont="1" applyFill="1" applyBorder="1" applyAlignment="1">
      <alignment horizontal="left" wrapText="1"/>
    </xf>
    <xf numFmtId="0" fontId="9" fillId="0" borderId="11" xfId="2" applyNumberFormat="1" applyFont="1" applyFill="1" applyBorder="1" applyAlignment="1">
      <alignment horizontal="left" wrapText="1"/>
    </xf>
    <xf numFmtId="0" fontId="9" fillId="0" borderId="8" xfId="2" applyNumberFormat="1" applyFont="1" applyFill="1" applyBorder="1" applyAlignment="1">
      <alignment horizontal="left" wrapText="1"/>
    </xf>
    <xf numFmtId="0" fontId="9" fillId="0" borderId="7" xfId="2" applyNumberFormat="1" applyFont="1" applyFill="1" applyBorder="1" applyAlignment="1">
      <alignment horizontal="left" wrapText="1"/>
    </xf>
    <xf numFmtId="0" fontId="9" fillId="0" borderId="6" xfId="2" applyNumberFormat="1" applyFont="1" applyFill="1" applyBorder="1" applyAlignment="1">
      <alignment horizontal="left" wrapText="1"/>
    </xf>
    <xf numFmtId="0" fontId="9" fillId="0" borderId="2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  <xf numFmtId="0" fontId="5" fillId="0" borderId="0" xfId="2" applyFont="1" applyFill="1" applyBorder="1" applyAlignment="1">
      <alignment horizontal="center"/>
    </xf>
    <xf numFmtId="0" fontId="9" fillId="0" borderId="14" xfId="2" applyNumberFormat="1" applyFont="1" applyFill="1" applyBorder="1" applyAlignment="1">
      <alignment horizontal="left" wrapText="1"/>
    </xf>
    <xf numFmtId="0" fontId="9" fillId="0" borderId="9" xfId="2" applyNumberFormat="1" applyFont="1" applyFill="1" applyBorder="1" applyAlignment="1">
      <alignment horizontal="left" wrapText="1"/>
    </xf>
    <xf numFmtId="0" fontId="9" fillId="0" borderId="0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 shrinkToFit="1"/>
    </xf>
    <xf numFmtId="49" fontId="9" fillId="0" borderId="10" xfId="2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2" applyFont="1" applyFill="1" applyBorder="1" applyAlignment="1">
      <alignment horizontal="right"/>
    </xf>
    <xf numFmtId="49" fontId="5" fillId="0" borderId="1" xfId="0" applyNumberFormat="1" applyFont="1" applyFill="1" applyBorder="1" applyAlignment="1">
      <alignment horizontal="center"/>
    </xf>
    <xf numFmtId="49" fontId="9" fillId="0" borderId="15" xfId="2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49" fontId="8" fillId="2" borderId="1" xfId="3" applyNumberFormat="1" applyFill="1" applyBorder="1" applyAlignment="1" applyProtection="1">
      <alignment horizontal="center" shrinkToFit="1"/>
    </xf>
    <xf numFmtId="49" fontId="7" fillId="2" borderId="1" xfId="0" applyNumberFormat="1" applyFont="1" applyFill="1" applyBorder="1" applyAlignment="1">
      <alignment horizontal="center" shrinkToFit="1"/>
    </xf>
    <xf numFmtId="49" fontId="7" fillId="2" borderId="1" xfId="0" applyNumberFormat="1" applyFont="1" applyFill="1" applyBorder="1" applyAlignment="1">
      <alignment horizontal="center"/>
    </xf>
    <xf numFmtId="0" fontId="9" fillId="2" borderId="33" xfId="2" applyFont="1" applyFill="1" applyBorder="1" applyAlignment="1">
      <alignment horizontal="left" wrapText="1"/>
    </xf>
    <xf numFmtId="0" fontId="9" fillId="0" borderId="30" xfId="2" applyFont="1" applyFill="1" applyBorder="1" applyAlignment="1">
      <alignment horizontal="left" wrapText="1"/>
    </xf>
    <xf numFmtId="0" fontId="9" fillId="0" borderId="8" xfId="2" applyFont="1" applyFill="1" applyBorder="1" applyAlignment="1">
      <alignment horizontal="left" wrapText="1"/>
    </xf>
    <xf numFmtId="0" fontId="9" fillId="0" borderId="7" xfId="2" applyFont="1" applyFill="1" applyBorder="1" applyAlignment="1">
      <alignment horizontal="left" wrapText="1"/>
    </xf>
    <xf numFmtId="0" fontId="9" fillId="0" borderId="9" xfId="2" applyFont="1" applyFill="1" applyBorder="1" applyAlignment="1">
      <alignment horizontal="left" wrapText="1"/>
    </xf>
    <xf numFmtId="0" fontId="9" fillId="0" borderId="3" xfId="2" applyNumberFormat="1" applyFont="1" applyFill="1" applyBorder="1" applyAlignment="1">
      <alignment horizontal="left" vertical="center" wrapText="1"/>
    </xf>
    <xf numFmtId="0" fontId="9" fillId="0" borderId="35" xfId="2" applyFont="1" applyFill="1" applyBorder="1" applyAlignment="1">
      <alignment horizontal="left" vertical="center" wrapText="1"/>
    </xf>
    <xf numFmtId="0" fontId="9" fillId="0" borderId="4" xfId="2" applyFont="1" applyFill="1" applyBorder="1" applyAlignment="1">
      <alignment horizontal="left" vertical="center" wrapText="1"/>
    </xf>
    <xf numFmtId="0" fontId="9" fillId="0" borderId="3" xfId="2" applyFont="1" applyFill="1" applyBorder="1" applyAlignment="1">
      <alignment horizontal="left" vertical="center" wrapText="1"/>
    </xf>
  </cellXfs>
  <cellStyles count="55">
    <cellStyle name="Гиперссылка" xfId="3" builtinId="8"/>
    <cellStyle name="Денежный 2" xfId="4"/>
    <cellStyle name="Денежный 2 2" xfId="5"/>
    <cellStyle name="Денежный 2 3" xfId="6"/>
    <cellStyle name="Денежный 2_стр.00" xfId="7"/>
    <cellStyle name="Обычный" xfId="0" builtinId="0"/>
    <cellStyle name="Обычный 2" xfId="8"/>
    <cellStyle name="Обычный 2 2" xfId="9"/>
    <cellStyle name="Обычный 2_стр.2_6 (2)" xfId="10"/>
    <cellStyle name="Обычный 3" xfId="11"/>
    <cellStyle name="Обычный 3 2" xfId="12"/>
    <cellStyle name="Обычный 3 2 2" xfId="13"/>
    <cellStyle name="Обычный 3 2 2 2" xfId="14"/>
    <cellStyle name="Обычный 3 2 3" xfId="15"/>
    <cellStyle name="Обычный 3 2_$158869_01d" xfId="16"/>
    <cellStyle name="Обычный 3 3" xfId="17"/>
    <cellStyle name="Обычный 3 3 2" xfId="18"/>
    <cellStyle name="Обычный 3 3 3" xfId="19"/>
    <cellStyle name="Обычный 3 3_$158869_03d" xfId="20"/>
    <cellStyle name="Обычный 3 4" xfId="21"/>
    <cellStyle name="Обычный 3 4 2" xfId="22"/>
    <cellStyle name="Обычный 3 5" xfId="23"/>
    <cellStyle name="Обычный 3 6" xfId="24"/>
    <cellStyle name="Обычный 3_$158869_01d" xfId="25"/>
    <cellStyle name="Обычный 4" xfId="2"/>
    <cellStyle name="Обычный 4 2" xfId="26"/>
    <cellStyle name="Обычный 4 3" xfId="27"/>
    <cellStyle name="Обычный 4 4" xfId="28"/>
    <cellStyle name="Обычный 4 5" xfId="29"/>
    <cellStyle name="Обычный 4_стр.00" xfId="30"/>
    <cellStyle name="Обычный 5" xfId="31"/>
    <cellStyle name="Обычный 5 2" xfId="32"/>
    <cellStyle name="Обычный 5 2 2" xfId="33"/>
    <cellStyle name="Обычный 5 2 2 2" xfId="34"/>
    <cellStyle name="Обычный 5 2 2 2 2" xfId="35"/>
    <cellStyle name="Обычный 5 2 2 3" xfId="36"/>
    <cellStyle name="Обычный 5 2 2_$158869_01d" xfId="37"/>
    <cellStyle name="Обычный 5 2 3" xfId="38"/>
    <cellStyle name="Обычный 5 2 3 2" xfId="39"/>
    <cellStyle name="Обычный 5 2 4" xfId="40"/>
    <cellStyle name="Обычный 5 2_$158869_01d" xfId="41"/>
    <cellStyle name="Обычный 5 3" xfId="42"/>
    <cellStyle name="Обычный 5 3 2" xfId="43"/>
    <cellStyle name="Обычный 5 3_стр.00" xfId="44"/>
    <cellStyle name="Обычный 5 4" xfId="45"/>
    <cellStyle name="Обычный 5 5" xfId="46"/>
    <cellStyle name="Обычный 5_$158869_01d" xfId="47"/>
    <cellStyle name="Обычный 6" xfId="48"/>
    <cellStyle name="Обычный 6 2" xfId="49"/>
    <cellStyle name="Обычный 6 3" xfId="50"/>
    <cellStyle name="Обычный 6_стр.00" xfId="51"/>
    <cellStyle name="Обычный 7" xfId="52"/>
    <cellStyle name="Обычный 7 2" xfId="53"/>
    <cellStyle name="Стиль 1" xfId="54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14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18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25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8</xdr:col>
      <xdr:colOff>9525</xdr:colOff>
      <xdr:row>0</xdr:row>
      <xdr:rowOff>0</xdr:rowOff>
    </xdr:from>
    <xdr:to>
      <xdr:col>152</xdr:col>
      <xdr:colOff>47625</xdr:colOff>
      <xdr:row>0</xdr:row>
      <xdr:rowOff>0</xdr:rowOff>
    </xdr:to>
    <xdr:pic>
      <xdr:nvPicPr>
        <xdr:cNvPr id="26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6725" y="0"/>
          <a:ext cx="8267700" cy="0"/>
        </a:xfrm>
        <a:prstGeom prst="rect">
          <a:avLst/>
        </a:prstGeom>
        <a:noFill/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31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32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33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34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35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36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37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38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39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40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41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42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43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44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45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46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47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48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49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0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1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2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4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5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6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7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8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9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60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61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62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6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64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65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66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67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68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69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70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71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72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73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74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75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76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77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78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79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2;&#1079;&#1076;&#1077;&#1083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87;&#1088;&#1080;&#1077;&#1084;&#1082;&#1072;%20&#1040;&#1050;&#1058;%20&#1089;%2001_06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"/>
    </sheetNames>
    <sheetDataSet>
      <sheetData sheetId="0">
        <row r="1">
          <cell r="FJ1" t="str">
            <v>уборка помещений</v>
          </cell>
        </row>
        <row r="11">
          <cell r="BW11">
            <v>9</v>
          </cell>
          <cell r="CB11" t="str">
            <v>июня</v>
          </cell>
          <cell r="CT11" t="str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рмация"/>
      <sheetName val="Вид документов"/>
      <sheetName val="Номенклатура"/>
      <sheetName val="Ставки НДС"/>
      <sheetName val="Страна происхождения"/>
      <sheetName val="Единица измерения "/>
    </sheetNames>
    <sheetDataSet>
      <sheetData sheetId="0">
        <row r="1">
          <cell r="Z1" t="str">
            <v>По документам поставщика (подрядчика)</v>
          </cell>
          <cell r="AO1" t="str">
            <v>Фактически принято</v>
          </cell>
          <cell r="AQ1" t="str">
            <v>Отклоне-
ние по количеству (объему)</v>
          </cell>
        </row>
        <row r="2">
          <cell r="Y2" t="str">
            <v>для подстановки</v>
          </cell>
          <cell r="Z2" t="str">
            <v>Код
строки</v>
          </cell>
          <cell r="AA2" t="str">
            <v>Код товара/
работ, услуг</v>
          </cell>
          <cell r="AB2" t="str">
            <v>Наименование товара 
(описание выполненных работ, оказанных услуг)</v>
          </cell>
          <cell r="AC2" t="str">
            <v>Страна происхождения товара</v>
          </cell>
          <cell r="AE2" t="str">
            <v xml:space="preserve">Единица измерения </v>
          </cell>
          <cell r="AG2" t="str">
            <v>количество (объем)</v>
          </cell>
          <cell r="AH2" t="str">
            <v>цена 
(тариф) 
за единицу измерения</v>
          </cell>
          <cell r="AI2" t="str">
            <v>стоимость товаров 
(работ, услуг), 
без НДС</v>
          </cell>
          <cell r="AJ2" t="str">
            <v>ставка НДС</v>
          </cell>
          <cell r="AK2" t="str">
            <v>сумма НДС, предъявляемая покупателю</v>
          </cell>
          <cell r="AL2" t="str">
            <v>стоимость товаров (работ, услуг), с НДС</v>
          </cell>
          <cell r="AM2" t="str">
            <v>регистрационный номер декларации 
на товары/
регистрационный номер партии товара, подлежащего прослеживаемости</v>
          </cell>
          <cell r="AN2" t="str">
            <v>номер сертификата соответствия товара</v>
          </cell>
          <cell r="AO2" t="str">
            <v>всего</v>
          </cell>
          <cell r="AP2" t="str">
            <v>в том числе количество (объем) фактически принятого товара, работы, услуги, не соответству-ющие качеству</v>
          </cell>
        </row>
        <row r="3">
          <cell r="AC3" t="str">
            <v>цифровой код</v>
          </cell>
          <cell r="AD3" t="str">
            <v>краткое 
наиме-
нование</v>
          </cell>
          <cell r="AE3" t="str">
            <v>код по ОКЕИ</v>
          </cell>
          <cell r="AF3" t="str">
            <v>условное обозначение 
(националь-ное)</v>
          </cell>
        </row>
        <row r="4">
          <cell r="Y4" t="str">
            <v>охрана1</v>
          </cell>
          <cell r="Z4">
            <v>1</v>
          </cell>
          <cell r="AA4" t="str">
            <v>80.10.19.000</v>
          </cell>
          <cell r="AB4" t="str">
            <v>Услуги охранно-тревожной сигнализации по адресу:Краснодарский край, г. Геленджик, ул. Курзальная, 12 за май 2026 год</v>
          </cell>
          <cell r="AC4">
            <v>643</v>
          </cell>
          <cell r="AD4" t="str">
            <v>Россия</v>
          </cell>
          <cell r="AE4">
            <v>362</v>
          </cell>
          <cell r="AF4" t="str">
            <v>месяц</v>
          </cell>
          <cell r="AK4">
            <v>0.05</v>
          </cell>
        </row>
        <row r="5">
          <cell r="Y5" t="str">
            <v>Сбис1</v>
          </cell>
          <cell r="Z5">
            <v>1</v>
          </cell>
          <cell r="AA5" t="str">
            <v>62.02.30.000</v>
          </cell>
          <cell r="AB5" t="str">
            <v>Абонентсое обслуживание (основной абонент)</v>
          </cell>
          <cell r="AC5">
            <v>643</v>
          </cell>
          <cell r="AD5" t="str">
            <v>Россия</v>
          </cell>
          <cell r="AE5">
            <v>362</v>
          </cell>
          <cell r="AF5" t="str">
            <v>мес.</v>
          </cell>
          <cell r="AK5" t="str">
            <v>без НДС</v>
          </cell>
        </row>
        <row r="6">
          <cell r="Y6" t="str">
            <v>Мед.Осмотр1</v>
          </cell>
          <cell r="Z6">
            <v>1</v>
          </cell>
          <cell r="AA6" t="str">
            <v>86.21.10.120</v>
          </cell>
          <cell r="AB6" t="str">
            <v>Услуга по проведению предрейсовых медецинских осмотров за май 2026 год</v>
          </cell>
          <cell r="AC6">
            <v>643</v>
          </cell>
          <cell r="AD6" t="str">
            <v>Россия</v>
          </cell>
          <cell r="AE6">
            <v>876</v>
          </cell>
          <cell r="AF6" t="str">
            <v>усл.ед.</v>
          </cell>
          <cell r="AK6" t="str">
            <v>без НДС</v>
          </cell>
        </row>
        <row r="7">
          <cell r="Y7" t="str">
            <v>Стоянка1</v>
          </cell>
          <cell r="Z7">
            <v>1</v>
          </cell>
          <cell r="AA7" t="str">
            <v>52.21.24.000</v>
          </cell>
          <cell r="AB7" t="str">
            <v>Услуги по обеспечению машиноместа (место парковки) на охроняемой стоянке за май 2026 год</v>
          </cell>
          <cell r="AC7">
            <v>643</v>
          </cell>
          <cell r="AD7" t="str">
            <v>Россия</v>
          </cell>
          <cell r="AE7">
            <v>362</v>
          </cell>
          <cell r="AF7" t="str">
            <v>мес.</v>
          </cell>
          <cell r="AK7" t="str">
            <v>без НДС</v>
          </cell>
        </row>
        <row r="8">
          <cell r="Y8" t="str">
            <v>Пожарка1</v>
          </cell>
          <cell r="Z8">
            <v>1</v>
          </cell>
          <cell r="AA8" t="str">
            <v>84.25.11.120</v>
          </cell>
          <cell r="AB8" t="str">
            <v>Проведение услуги по техническому обслуживанию автоматической системы пожарной сигнализации и оповещения людей о пожаре в ГКУ КК - УСЗН в городе-курорте Геленджике по адресу; г. Геленджик, ул.  Курзальная, 12 за май 2026 год</v>
          </cell>
          <cell r="AC8">
            <v>643</v>
          </cell>
          <cell r="AD8" t="str">
            <v>Россия</v>
          </cell>
          <cell r="AE8">
            <v>796</v>
          </cell>
          <cell r="AF8" t="str">
            <v>шт.</v>
          </cell>
          <cell r="AK8" t="str">
            <v>без НДС</v>
          </cell>
        </row>
        <row r="9">
          <cell r="Y9" t="str">
            <v>уборка помещений1</v>
          </cell>
          <cell r="Z9">
            <v>1</v>
          </cell>
          <cell r="AA9" t="str">
            <v xml:space="preserve">81.29.19.000 </v>
          </cell>
          <cell r="AB9" t="str">
            <v>Услуги по уборке помещений (клининговые услуги)</v>
          </cell>
          <cell r="AC9">
            <v>643</v>
          </cell>
          <cell r="AD9" t="str">
            <v>Россия</v>
          </cell>
          <cell r="AK9" t="str">
            <v>без НДС</v>
          </cell>
        </row>
        <row r="10">
          <cell r="Y10" t="str">
            <v>Связь1</v>
          </cell>
          <cell r="Z10">
            <v>1</v>
          </cell>
          <cell r="AA10" t="str">
            <v>61.10.20.110</v>
          </cell>
          <cell r="AB10" t="str">
            <v>ТП "Базовый" МГ ABC -предвыбор</v>
          </cell>
          <cell r="AC10">
            <v>643</v>
          </cell>
          <cell r="AD10" t="str">
            <v>Россия</v>
          </cell>
          <cell r="AE10" t="str">
            <v>-</v>
          </cell>
          <cell r="AF10" t="str">
            <v>-</v>
          </cell>
          <cell r="AK10">
            <v>0.22</v>
          </cell>
        </row>
        <row r="11">
          <cell r="Y11" t="str">
            <v>Связь2</v>
          </cell>
          <cell r="Z11">
            <v>2</v>
          </cell>
          <cell r="AA11" t="str">
            <v>61.10.20.110</v>
          </cell>
          <cell r="AB11" t="str">
            <v>ТП "Базовый" МГ DEF -предвыбор</v>
          </cell>
          <cell r="AC11">
            <v>643</v>
          </cell>
          <cell r="AD11" t="str">
            <v>Россия</v>
          </cell>
          <cell r="AE11" t="str">
            <v>-</v>
          </cell>
          <cell r="AF11" t="str">
            <v>-</v>
          </cell>
          <cell r="AK11">
            <v>0.22</v>
          </cell>
        </row>
        <row r="12">
          <cell r="Y12" t="str">
            <v>Интерент1</v>
          </cell>
          <cell r="Z12">
            <v>1</v>
          </cell>
          <cell r="AA12" t="str">
            <v>61.10.43.000</v>
          </cell>
          <cell r="AB12" t="str">
            <v>Предоставление в пользование услуги доступа к сети Интернет без ограничений объема потребляемого трафика со скоростью до 100 Мбит/с</v>
          </cell>
          <cell r="AC12">
            <v>643</v>
          </cell>
          <cell r="AD12" t="str">
            <v>Россия</v>
          </cell>
          <cell r="AE12" t="str">
            <v>-</v>
          </cell>
          <cell r="AF12" t="str">
            <v>-</v>
          </cell>
          <cell r="AK12">
            <v>0.22</v>
          </cell>
        </row>
        <row r="13">
          <cell r="Y13" t="str">
            <v>Интерент2</v>
          </cell>
          <cell r="Z13">
            <v>2</v>
          </cell>
          <cell r="AA13" t="str">
            <v>61.10.43.000</v>
          </cell>
          <cell r="AB13" t="str">
            <v>Предоставлние в пользование статического IP-адреса, в месяц (ETHH и др., кроме xDSL)</v>
          </cell>
          <cell r="AC13">
            <v>643</v>
          </cell>
          <cell r="AD13" t="str">
            <v>Россия</v>
          </cell>
          <cell r="AE13" t="str">
            <v>-</v>
          </cell>
          <cell r="AF13" t="str">
            <v>-</v>
          </cell>
          <cell r="AK13">
            <v>0.22</v>
          </cell>
        </row>
        <row r="14">
          <cell r="Y14" t="str">
            <v>Сотовая связь1</v>
          </cell>
          <cell r="Z14">
            <v>1</v>
          </cell>
          <cell r="AA14" t="str">
            <v>61.20.20.000</v>
          </cell>
          <cell r="AB14" t="str">
            <v>Услуги связи (Государственный контракт № 1 от 26.01.2026) за период с 01.05.2026. по 31.05.2026</v>
          </cell>
          <cell r="AC14">
            <v>643</v>
          </cell>
          <cell r="AD14" t="str">
            <v>Россия</v>
          </cell>
          <cell r="AE14" t="str">
            <v>-</v>
          </cell>
          <cell r="AF14" t="str">
            <v>-</v>
          </cell>
          <cell r="AK14">
            <v>0.22</v>
          </cell>
        </row>
        <row r="15">
          <cell r="Y15" t="str">
            <v>Закрыт1</v>
          </cell>
          <cell r="Z15">
            <v>1</v>
          </cell>
          <cell r="AA15" t="str">
            <v>71.12.19.100</v>
          </cell>
          <cell r="AB15" t="str">
            <v>Разработка рабочей и сметной документации на работы по монтажу автоматической пожарной сигнализации, системы оповещения и управления эвакуацией. г-к Геленджик, ул. Курзальная, д. 12</v>
          </cell>
          <cell r="AC15">
            <v>643</v>
          </cell>
          <cell r="AD15" t="str">
            <v>Россия</v>
          </cell>
          <cell r="AE15">
            <v>876</v>
          </cell>
          <cell r="AF15" t="str">
            <v>усл.ед.</v>
          </cell>
          <cell r="AK15" t="str">
            <v>без НДС</v>
          </cell>
        </row>
        <row r="16">
          <cell r="Y16" t="str">
            <v>Смета разово1</v>
          </cell>
          <cell r="Z16">
            <v>1</v>
          </cell>
          <cell r="AA16" t="str">
            <v>71.20.19.130</v>
          </cell>
          <cell r="AB16" t="str">
            <v>Оказание услуг по проведению специальной оценки условий труда (СОУТ)</v>
          </cell>
          <cell r="AC16">
            <v>643</v>
          </cell>
          <cell r="AD16" t="str">
            <v>Россия</v>
          </cell>
          <cell r="AE16">
            <v>904</v>
          </cell>
          <cell r="AF16" t="str">
            <v>раб.мест</v>
          </cell>
          <cell r="AK16">
            <v>0.05</v>
          </cell>
        </row>
        <row r="17">
          <cell r="Y17" t="str">
            <v/>
          </cell>
        </row>
        <row r="18">
          <cell r="Y18" t="str">
            <v/>
          </cell>
        </row>
        <row r="19">
          <cell r="Y19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zn_gelen@mtsr.krasnodar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70"/>
  <sheetViews>
    <sheetView tabSelected="1" view="pageBreakPreview" topLeftCell="A16" zoomScale="120" zoomScaleSheetLayoutView="120" workbookViewId="0">
      <selection activeCell="DD34" sqref="DD34:DM34"/>
    </sheetView>
  </sheetViews>
  <sheetFormatPr defaultColWidth="0.85546875" defaultRowHeight="12.75" x14ac:dyDescent="0.2"/>
  <cols>
    <col min="1" max="166" width="0.85546875" style="1"/>
    <col min="167" max="167" width="7.28515625" style="1" bestFit="1" customWidth="1"/>
    <col min="168" max="168" width="4.85546875" style="1" bestFit="1" customWidth="1"/>
    <col min="169" max="16384" width="0.85546875" style="1"/>
  </cols>
  <sheetData>
    <row r="1" spans="1:168" s="40" customFormat="1" ht="3" customHeight="1" x14ac:dyDescent="0.2"/>
    <row r="2" spans="1:168" s="18" customFormat="1" ht="10.5" x14ac:dyDescent="0.2">
      <c r="A2" s="23" t="s">
        <v>101</v>
      </c>
      <c r="FE2" s="39" t="s">
        <v>100</v>
      </c>
      <c r="FK2" s="38"/>
      <c r="FL2" s="37"/>
    </row>
    <row r="3" spans="1:168" ht="4.5" customHeight="1" x14ac:dyDescent="0.2">
      <c r="FK3" s="36"/>
      <c r="FL3" s="36"/>
    </row>
    <row r="4" spans="1:168" s="30" customFormat="1" ht="12" customHeight="1" x14ac:dyDescent="0.15">
      <c r="A4" s="48" t="s">
        <v>51</v>
      </c>
      <c r="B4" s="48"/>
      <c r="C4" s="48"/>
      <c r="D4" s="48"/>
      <c r="E4" s="48"/>
      <c r="F4" s="49"/>
      <c r="G4" s="41" t="s">
        <v>99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3"/>
      <c r="DM4" s="92" t="s">
        <v>98</v>
      </c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4"/>
      <c r="EK4" s="47" t="s">
        <v>97</v>
      </c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K4" s="35"/>
      <c r="FL4" s="35"/>
    </row>
    <row r="5" spans="1:168" s="30" customFormat="1" ht="21" customHeight="1" x14ac:dyDescent="0.15">
      <c r="A5" s="51"/>
      <c r="B5" s="51"/>
      <c r="C5" s="51"/>
      <c r="D5" s="51"/>
      <c r="E5" s="51"/>
      <c r="F5" s="52"/>
      <c r="G5" s="41" t="s">
        <v>96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3"/>
      <c r="AC5" s="41" t="s">
        <v>95</v>
      </c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3"/>
      <c r="AY5" s="41" t="s">
        <v>94</v>
      </c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3"/>
      <c r="BU5" s="41" t="s">
        <v>93</v>
      </c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3"/>
      <c r="CQ5" s="41" t="s">
        <v>92</v>
      </c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3"/>
      <c r="DM5" s="95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7"/>
      <c r="EK5" s="50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K5" s="35"/>
      <c r="FL5" s="35"/>
    </row>
    <row r="6" spans="1:168" s="30" customFormat="1" ht="10.5" customHeight="1" x14ac:dyDescent="0.15">
      <c r="A6" s="54"/>
      <c r="B6" s="54"/>
      <c r="C6" s="54"/>
      <c r="D6" s="54"/>
      <c r="E6" s="54"/>
      <c r="F6" s="55"/>
      <c r="G6" s="86" t="s">
        <v>91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 t="s">
        <v>90</v>
      </c>
      <c r="T6" s="86"/>
      <c r="U6" s="86"/>
      <c r="V6" s="86"/>
      <c r="W6" s="86"/>
      <c r="X6" s="86"/>
      <c r="Y6" s="86"/>
      <c r="Z6" s="86"/>
      <c r="AA6" s="86"/>
      <c r="AB6" s="86"/>
      <c r="AC6" s="86" t="s">
        <v>91</v>
      </c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 t="s">
        <v>90</v>
      </c>
      <c r="AP6" s="86"/>
      <c r="AQ6" s="86"/>
      <c r="AR6" s="86"/>
      <c r="AS6" s="86"/>
      <c r="AT6" s="86"/>
      <c r="AU6" s="86"/>
      <c r="AV6" s="86"/>
      <c r="AW6" s="86"/>
      <c r="AX6" s="86"/>
      <c r="AY6" s="86" t="s">
        <v>91</v>
      </c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 t="s">
        <v>90</v>
      </c>
      <c r="BL6" s="86"/>
      <c r="BM6" s="86"/>
      <c r="BN6" s="86"/>
      <c r="BO6" s="86"/>
      <c r="BP6" s="86"/>
      <c r="BQ6" s="86"/>
      <c r="BR6" s="86"/>
      <c r="BS6" s="86"/>
      <c r="BT6" s="86"/>
      <c r="BU6" s="86" t="s">
        <v>91</v>
      </c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 t="s">
        <v>90</v>
      </c>
      <c r="CH6" s="86"/>
      <c r="CI6" s="86"/>
      <c r="CJ6" s="86"/>
      <c r="CK6" s="86"/>
      <c r="CL6" s="86"/>
      <c r="CM6" s="86"/>
      <c r="CN6" s="86"/>
      <c r="CO6" s="86"/>
      <c r="CP6" s="86"/>
      <c r="CQ6" s="86" t="s">
        <v>91</v>
      </c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 t="s">
        <v>90</v>
      </c>
      <c r="DD6" s="86"/>
      <c r="DE6" s="86"/>
      <c r="DF6" s="86"/>
      <c r="DG6" s="86"/>
      <c r="DH6" s="86"/>
      <c r="DI6" s="86"/>
      <c r="DJ6" s="86"/>
      <c r="DK6" s="86"/>
      <c r="DL6" s="86"/>
      <c r="DM6" s="86" t="s">
        <v>89</v>
      </c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56" t="s">
        <v>88</v>
      </c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3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</row>
    <row r="7" spans="1:168" s="29" customFormat="1" ht="10.5" customHeight="1" thickBot="1" x14ac:dyDescent="0.3">
      <c r="A7" s="90" t="s">
        <v>30</v>
      </c>
      <c r="B7" s="90"/>
      <c r="C7" s="90"/>
      <c r="D7" s="90"/>
      <c r="E7" s="90"/>
      <c r="F7" s="91"/>
      <c r="G7" s="87">
        <v>2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>
        <v>3</v>
      </c>
      <c r="T7" s="87"/>
      <c r="U7" s="87"/>
      <c r="V7" s="87"/>
      <c r="W7" s="87"/>
      <c r="X7" s="87"/>
      <c r="Y7" s="87"/>
      <c r="Z7" s="87"/>
      <c r="AA7" s="87"/>
      <c r="AB7" s="87"/>
      <c r="AC7" s="87">
        <v>4</v>
      </c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>
        <v>5</v>
      </c>
      <c r="AP7" s="87"/>
      <c r="AQ7" s="87"/>
      <c r="AR7" s="87"/>
      <c r="AS7" s="87"/>
      <c r="AT7" s="87"/>
      <c r="AU7" s="87"/>
      <c r="AV7" s="87"/>
      <c r="AW7" s="87"/>
      <c r="AX7" s="87"/>
      <c r="AY7" s="87">
        <v>6</v>
      </c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>
        <v>7</v>
      </c>
      <c r="BL7" s="87"/>
      <c r="BM7" s="87"/>
      <c r="BN7" s="87"/>
      <c r="BO7" s="87"/>
      <c r="BP7" s="87"/>
      <c r="BQ7" s="87"/>
      <c r="BR7" s="87"/>
      <c r="BS7" s="87"/>
      <c r="BT7" s="87"/>
      <c r="BU7" s="87">
        <v>8</v>
      </c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>
        <v>9</v>
      </c>
      <c r="CH7" s="87"/>
      <c r="CI7" s="87"/>
      <c r="CJ7" s="87"/>
      <c r="CK7" s="87"/>
      <c r="CL7" s="87"/>
      <c r="CM7" s="87"/>
      <c r="CN7" s="87"/>
      <c r="CO7" s="87"/>
      <c r="CP7" s="87"/>
      <c r="CQ7" s="87">
        <v>10</v>
      </c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>
        <v>11</v>
      </c>
      <c r="DD7" s="87"/>
      <c r="DE7" s="87"/>
      <c r="DF7" s="87"/>
      <c r="DG7" s="87"/>
      <c r="DH7" s="87"/>
      <c r="DI7" s="87"/>
      <c r="DJ7" s="87"/>
      <c r="DK7" s="87"/>
      <c r="DL7" s="87"/>
      <c r="DM7" s="87">
        <v>12</v>
      </c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>
        <v>13</v>
      </c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9">
        <v>14</v>
      </c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</row>
    <row r="8" spans="1:168" s="28" customFormat="1" ht="15" customHeight="1" thickBot="1" x14ac:dyDescent="0.3">
      <c r="A8" s="83"/>
      <c r="B8" s="84"/>
      <c r="C8" s="84"/>
      <c r="D8" s="84"/>
      <c r="E8" s="84"/>
      <c r="F8" s="85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169"/>
      <c r="EL8" s="170"/>
      <c r="EM8" s="170"/>
      <c r="EN8" s="170"/>
      <c r="EO8" s="170"/>
      <c r="EP8" s="170"/>
      <c r="EQ8" s="170"/>
      <c r="ER8" s="170"/>
      <c r="ES8" s="170"/>
      <c r="ET8" s="170"/>
      <c r="EU8" s="170"/>
      <c r="EV8" s="170"/>
      <c r="EW8" s="170"/>
      <c r="EX8" s="170"/>
      <c r="EY8" s="170"/>
      <c r="EZ8" s="170"/>
      <c r="FA8" s="170"/>
      <c r="FB8" s="170"/>
      <c r="FC8" s="170"/>
      <c r="FD8" s="170"/>
      <c r="FE8" s="171"/>
    </row>
    <row r="9" spans="1:168" s="31" customFormat="1" ht="6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2"/>
      <c r="FE9" s="32"/>
    </row>
    <row r="10" spans="1:168" s="18" customFormat="1" ht="10.5" x14ac:dyDescent="0.2">
      <c r="A10" s="23" t="s">
        <v>87</v>
      </c>
    </row>
    <row r="11" spans="1:168" ht="4.5" customHeight="1" x14ac:dyDescent="0.2"/>
    <row r="12" spans="1:168" s="30" customFormat="1" ht="12" customHeight="1" x14ac:dyDescent="0.15">
      <c r="A12" s="48" t="s">
        <v>51</v>
      </c>
      <c r="B12" s="48"/>
      <c r="C12" s="48"/>
      <c r="D12" s="48"/>
      <c r="E12" s="48"/>
      <c r="F12" s="49"/>
      <c r="G12" s="47" t="s">
        <v>86</v>
      </c>
      <c r="H12" s="48"/>
      <c r="I12" s="48"/>
      <c r="J12" s="48"/>
      <c r="K12" s="48"/>
      <c r="L12" s="48"/>
      <c r="M12" s="48"/>
      <c r="N12" s="48"/>
      <c r="O12" s="48"/>
      <c r="P12" s="48"/>
      <c r="Q12" s="49"/>
      <c r="R12" s="47" t="s">
        <v>85</v>
      </c>
      <c r="S12" s="48"/>
      <c r="T12" s="48"/>
      <c r="U12" s="48"/>
      <c r="V12" s="48"/>
      <c r="W12" s="48"/>
      <c r="X12" s="48"/>
      <c r="Y12" s="48"/>
      <c r="Z12" s="48"/>
      <c r="AA12" s="48"/>
      <c r="AB12" s="49"/>
      <c r="AC12" s="47" t="s">
        <v>84</v>
      </c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9"/>
      <c r="AQ12" s="41" t="s">
        <v>68</v>
      </c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3"/>
      <c r="BN12" s="47" t="s">
        <v>83</v>
      </c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9"/>
      <c r="CB12" s="47" t="s">
        <v>82</v>
      </c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9"/>
      <c r="CN12" s="41" t="s">
        <v>81</v>
      </c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3"/>
      <c r="DH12" s="47" t="s">
        <v>80</v>
      </c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9"/>
      <c r="EN12" s="47" t="s">
        <v>79</v>
      </c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</row>
    <row r="13" spans="1:168" s="30" customFormat="1" ht="21" customHeight="1" x14ac:dyDescent="0.15">
      <c r="A13" s="54"/>
      <c r="B13" s="54"/>
      <c r="C13" s="54"/>
      <c r="D13" s="54"/>
      <c r="E13" s="54"/>
      <c r="F13" s="55"/>
      <c r="G13" s="53"/>
      <c r="H13" s="54"/>
      <c r="I13" s="54"/>
      <c r="J13" s="54"/>
      <c r="K13" s="54"/>
      <c r="L13" s="54"/>
      <c r="M13" s="54"/>
      <c r="N13" s="54"/>
      <c r="O13" s="54"/>
      <c r="P13" s="54"/>
      <c r="Q13" s="55"/>
      <c r="R13" s="53"/>
      <c r="S13" s="54"/>
      <c r="T13" s="54"/>
      <c r="U13" s="54"/>
      <c r="V13" s="54"/>
      <c r="W13" s="54"/>
      <c r="X13" s="54"/>
      <c r="Y13" s="54"/>
      <c r="Z13" s="54"/>
      <c r="AA13" s="54"/>
      <c r="AB13" s="55"/>
      <c r="AC13" s="53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41" t="s">
        <v>78</v>
      </c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3"/>
      <c r="BD13" s="41" t="s">
        <v>58</v>
      </c>
      <c r="BE13" s="42"/>
      <c r="BF13" s="42"/>
      <c r="BG13" s="42"/>
      <c r="BH13" s="42"/>
      <c r="BI13" s="42"/>
      <c r="BJ13" s="42"/>
      <c r="BK13" s="42"/>
      <c r="BL13" s="42"/>
      <c r="BM13" s="43"/>
      <c r="BN13" s="53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5"/>
      <c r="CB13" s="53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5"/>
      <c r="CN13" s="41" t="s">
        <v>77</v>
      </c>
      <c r="CO13" s="42"/>
      <c r="CP13" s="42"/>
      <c r="CQ13" s="42"/>
      <c r="CR13" s="42"/>
      <c r="CS13" s="42"/>
      <c r="CT13" s="42"/>
      <c r="CU13" s="42"/>
      <c r="CV13" s="42"/>
      <c r="CW13" s="43"/>
      <c r="CX13" s="41" t="s">
        <v>76</v>
      </c>
      <c r="CY13" s="42"/>
      <c r="CZ13" s="42"/>
      <c r="DA13" s="42"/>
      <c r="DB13" s="42"/>
      <c r="DC13" s="42"/>
      <c r="DD13" s="42"/>
      <c r="DE13" s="42"/>
      <c r="DF13" s="42"/>
      <c r="DG13" s="43"/>
      <c r="DH13" s="53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5"/>
      <c r="EN13" s="53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</row>
    <row r="14" spans="1:168" s="29" customFormat="1" ht="10.5" customHeight="1" thickBot="1" x14ac:dyDescent="0.3">
      <c r="A14" s="90" t="s">
        <v>30</v>
      </c>
      <c r="B14" s="90"/>
      <c r="C14" s="90"/>
      <c r="D14" s="90"/>
      <c r="E14" s="90"/>
      <c r="F14" s="91"/>
      <c r="G14" s="89">
        <v>2</v>
      </c>
      <c r="H14" s="90"/>
      <c r="I14" s="90"/>
      <c r="J14" s="90"/>
      <c r="K14" s="90"/>
      <c r="L14" s="90"/>
      <c r="M14" s="90"/>
      <c r="N14" s="90"/>
      <c r="O14" s="90"/>
      <c r="P14" s="90"/>
      <c r="Q14" s="91"/>
      <c r="R14" s="89">
        <v>3</v>
      </c>
      <c r="S14" s="90"/>
      <c r="T14" s="90"/>
      <c r="U14" s="90"/>
      <c r="V14" s="90"/>
      <c r="W14" s="90"/>
      <c r="X14" s="90"/>
      <c r="Y14" s="90"/>
      <c r="Z14" s="90"/>
      <c r="AA14" s="90"/>
      <c r="AB14" s="91"/>
      <c r="AC14" s="89">
        <v>4</v>
      </c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89">
        <v>5</v>
      </c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1"/>
      <c r="BD14" s="89">
        <v>6</v>
      </c>
      <c r="BE14" s="90"/>
      <c r="BF14" s="90"/>
      <c r="BG14" s="90"/>
      <c r="BH14" s="90"/>
      <c r="BI14" s="90"/>
      <c r="BJ14" s="90"/>
      <c r="BK14" s="90"/>
      <c r="BL14" s="90"/>
      <c r="BM14" s="91"/>
      <c r="BN14" s="89">
        <v>7</v>
      </c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1"/>
      <c r="CB14" s="89">
        <v>8</v>
      </c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1"/>
      <c r="CN14" s="89">
        <v>9</v>
      </c>
      <c r="CO14" s="90"/>
      <c r="CP14" s="90"/>
      <c r="CQ14" s="90"/>
      <c r="CR14" s="90"/>
      <c r="CS14" s="90"/>
      <c r="CT14" s="90"/>
      <c r="CU14" s="90"/>
      <c r="CV14" s="90"/>
      <c r="CW14" s="91"/>
      <c r="CX14" s="89">
        <v>10</v>
      </c>
      <c r="CY14" s="90"/>
      <c r="CZ14" s="90"/>
      <c r="DA14" s="90"/>
      <c r="DB14" s="90"/>
      <c r="DC14" s="90"/>
      <c r="DD14" s="90"/>
      <c r="DE14" s="90"/>
      <c r="DF14" s="90"/>
      <c r="DG14" s="91"/>
      <c r="DH14" s="89">
        <v>11</v>
      </c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90"/>
      <c r="DU14" s="90"/>
      <c r="DV14" s="90"/>
      <c r="DW14" s="90"/>
      <c r="DX14" s="90"/>
      <c r="DY14" s="90"/>
      <c r="DZ14" s="90"/>
      <c r="EA14" s="90"/>
      <c r="EB14" s="90"/>
      <c r="EC14" s="90"/>
      <c r="ED14" s="90"/>
      <c r="EE14" s="90"/>
      <c r="EF14" s="90"/>
      <c r="EG14" s="90"/>
      <c r="EH14" s="90"/>
      <c r="EI14" s="90"/>
      <c r="EJ14" s="90"/>
      <c r="EK14" s="90"/>
      <c r="EL14" s="90"/>
      <c r="EM14" s="91"/>
      <c r="EN14" s="98">
        <v>12</v>
      </c>
      <c r="EO14" s="99"/>
      <c r="EP14" s="99"/>
      <c r="EQ14" s="99"/>
      <c r="ER14" s="99"/>
      <c r="ES14" s="99"/>
      <c r="ET14" s="99"/>
      <c r="EU14" s="99"/>
      <c r="EV14" s="99"/>
      <c r="EW14" s="99"/>
      <c r="EX14" s="99"/>
      <c r="EY14" s="99"/>
      <c r="EZ14" s="99"/>
      <c r="FA14" s="99"/>
      <c r="FB14" s="99"/>
      <c r="FC14" s="99"/>
      <c r="FD14" s="99"/>
      <c r="FE14" s="99"/>
    </row>
    <row r="15" spans="1:168" s="28" customFormat="1" ht="15" customHeight="1" thickBot="1" x14ac:dyDescent="0.3">
      <c r="A15" s="83"/>
      <c r="B15" s="84"/>
      <c r="C15" s="84"/>
      <c r="D15" s="84"/>
      <c r="E15" s="84"/>
      <c r="F15" s="85"/>
      <c r="G15" s="104"/>
      <c r="H15" s="105"/>
      <c r="I15" s="105"/>
      <c r="J15" s="105"/>
      <c r="K15" s="105"/>
      <c r="L15" s="105"/>
      <c r="M15" s="105"/>
      <c r="N15" s="105"/>
      <c r="O15" s="105"/>
      <c r="P15" s="105"/>
      <c r="Q15" s="106"/>
      <c r="R15" s="103"/>
      <c r="S15" s="84"/>
      <c r="T15" s="84"/>
      <c r="U15" s="84"/>
      <c r="V15" s="84"/>
      <c r="W15" s="84"/>
      <c r="X15" s="84"/>
      <c r="Y15" s="84"/>
      <c r="Z15" s="84"/>
      <c r="AA15" s="84"/>
      <c r="AB15" s="85"/>
      <c r="AC15" s="104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9"/>
      <c r="BD15" s="103"/>
      <c r="BE15" s="84"/>
      <c r="BF15" s="84"/>
      <c r="BG15" s="84"/>
      <c r="BH15" s="84"/>
      <c r="BI15" s="84"/>
      <c r="BJ15" s="84"/>
      <c r="BK15" s="84"/>
      <c r="BL15" s="84"/>
      <c r="BM15" s="85"/>
      <c r="BN15" s="104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6"/>
      <c r="CB15" s="100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2"/>
      <c r="CN15" s="100"/>
      <c r="CO15" s="101"/>
      <c r="CP15" s="101"/>
      <c r="CQ15" s="101"/>
      <c r="CR15" s="101"/>
      <c r="CS15" s="101"/>
      <c r="CT15" s="101"/>
      <c r="CU15" s="101"/>
      <c r="CV15" s="101"/>
      <c r="CW15" s="102"/>
      <c r="CX15" s="100"/>
      <c r="CY15" s="101"/>
      <c r="CZ15" s="101"/>
      <c r="DA15" s="101"/>
      <c r="DB15" s="101"/>
      <c r="DC15" s="101"/>
      <c r="DD15" s="101"/>
      <c r="DE15" s="101"/>
      <c r="DF15" s="101"/>
      <c r="DG15" s="102"/>
      <c r="DH15" s="104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5"/>
      <c r="EG15" s="105"/>
      <c r="EH15" s="105"/>
      <c r="EI15" s="105"/>
      <c r="EJ15" s="105"/>
      <c r="EK15" s="105"/>
      <c r="EL15" s="105"/>
      <c r="EM15" s="106"/>
      <c r="EN15" s="104"/>
      <c r="EO15" s="105"/>
      <c r="EP15" s="105"/>
      <c r="EQ15" s="105"/>
      <c r="ER15" s="105"/>
      <c r="ES15" s="105"/>
      <c r="ET15" s="105"/>
      <c r="EU15" s="105"/>
      <c r="EV15" s="105"/>
      <c r="EW15" s="105"/>
      <c r="EX15" s="105"/>
      <c r="EY15" s="105"/>
      <c r="EZ15" s="105"/>
      <c r="FA15" s="105"/>
      <c r="FB15" s="105"/>
      <c r="FC15" s="105"/>
      <c r="FD15" s="105"/>
      <c r="FE15" s="168"/>
    </row>
    <row r="16" spans="1:168" ht="10.5" customHeight="1" x14ac:dyDescent="0.2"/>
    <row r="17" spans="1:161" s="5" customFormat="1" ht="11.25" customHeight="1" x14ac:dyDescent="0.2">
      <c r="A17" s="5" t="s">
        <v>9</v>
      </c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6"/>
      <c r="BU17" s="6"/>
      <c r="BV17" s="112"/>
      <c r="BW17" s="112"/>
      <c r="BX17" s="112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12"/>
      <c r="CS17" s="112"/>
      <c r="CT17" s="112"/>
      <c r="CU17" s="11"/>
    </row>
    <row r="18" spans="1:161" s="3" customFormat="1" ht="9.75" customHeight="1" x14ac:dyDescent="0.25">
      <c r="A18" s="4" t="s">
        <v>8</v>
      </c>
      <c r="AD18" s="113" t="s">
        <v>4</v>
      </c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E18" s="66" t="s">
        <v>3</v>
      </c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V18" s="66" t="s">
        <v>2</v>
      </c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</row>
    <row r="19" spans="1:161" s="27" customFormat="1" ht="9" customHeight="1" x14ac:dyDescent="0.2"/>
    <row r="20" spans="1:161" s="2" customFormat="1" ht="10.5" customHeight="1" x14ac:dyDescent="0.2">
      <c r="A20" s="44" t="s">
        <v>1</v>
      </c>
      <c r="B20" s="44"/>
      <c r="C20" s="68"/>
      <c r="D20" s="68"/>
      <c r="E20" s="68"/>
      <c r="F20" s="67" t="s">
        <v>1</v>
      </c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44">
        <v>20</v>
      </c>
      <c r="X20" s="44"/>
      <c r="Y20" s="44"/>
      <c r="Z20" s="71"/>
      <c r="AA20" s="71"/>
      <c r="AB20" s="71"/>
      <c r="AC20" s="67" t="s">
        <v>0</v>
      </c>
      <c r="AD20" s="67"/>
      <c r="AE20" s="67"/>
    </row>
    <row r="21" spans="1:161" s="2" customFormat="1" ht="10.5" customHeight="1" x14ac:dyDescent="0.2">
      <c r="B21" s="9"/>
      <c r="C21" s="10"/>
      <c r="D21" s="10"/>
      <c r="E21" s="10"/>
      <c r="F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9"/>
      <c r="Y21" s="9"/>
      <c r="Z21" s="9"/>
      <c r="AA21" s="7"/>
      <c r="AB21" s="7"/>
      <c r="AC21" s="7"/>
      <c r="AD21" s="7"/>
    </row>
    <row r="22" spans="1:161" s="5" customFormat="1" ht="11.25" customHeight="1" x14ac:dyDescent="0.2">
      <c r="A22" s="5" t="s">
        <v>7</v>
      </c>
      <c r="W22" s="6"/>
      <c r="X22" s="6"/>
      <c r="Y22" s="6"/>
      <c r="Z22" s="6"/>
      <c r="AA22" s="6"/>
      <c r="AB22" s="6"/>
      <c r="AC22" s="6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  <c r="BQ22" s="112"/>
      <c r="BR22" s="112"/>
      <c r="BS22" s="112"/>
      <c r="BT22" s="6"/>
      <c r="BU22" s="6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  <c r="CP22" s="112"/>
      <c r="CQ22" s="112"/>
      <c r="CR22" s="112"/>
      <c r="CS22" s="112"/>
      <c r="CT22" s="112"/>
      <c r="CU22" s="11"/>
    </row>
    <row r="23" spans="1:161" s="3" customFormat="1" ht="9.75" customHeight="1" x14ac:dyDescent="0.25">
      <c r="A23" s="4"/>
      <c r="AD23" s="113" t="s">
        <v>4</v>
      </c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E23" s="66" t="s">
        <v>3</v>
      </c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V23" s="66" t="s">
        <v>2</v>
      </c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</row>
    <row r="24" spans="1:161" s="27" customFormat="1" ht="9" customHeight="1" x14ac:dyDescent="0.2"/>
    <row r="25" spans="1:161" s="2" customFormat="1" ht="10.5" customHeight="1" x14ac:dyDescent="0.2">
      <c r="A25" s="44" t="s">
        <v>1</v>
      </c>
      <c r="B25" s="44"/>
      <c r="C25" s="68"/>
      <c r="D25" s="68"/>
      <c r="E25" s="68"/>
      <c r="F25" s="67" t="s">
        <v>1</v>
      </c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44">
        <v>20</v>
      </c>
      <c r="X25" s="44"/>
      <c r="Y25" s="44"/>
      <c r="Z25" s="71"/>
      <c r="AA25" s="71"/>
      <c r="AB25" s="71"/>
      <c r="AC25" s="67" t="s">
        <v>0</v>
      </c>
      <c r="AD25" s="67"/>
      <c r="AE25" s="67"/>
    </row>
    <row r="26" spans="1:161" ht="3" customHeight="1" x14ac:dyDescent="0.2"/>
    <row r="27" spans="1:161" s="18" customFormat="1" ht="10.5" customHeight="1" x14ac:dyDescent="0.2">
      <c r="A27" s="23" t="s">
        <v>75</v>
      </c>
      <c r="FE27" s="26" t="s">
        <v>74</v>
      </c>
    </row>
    <row r="28" spans="1:161" ht="4.5" customHeight="1" x14ac:dyDescent="0.2"/>
    <row r="29" spans="1:161" s="22" customFormat="1" ht="10.5" customHeight="1" x14ac:dyDescent="0.25">
      <c r="A29" s="125" t="s">
        <v>73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6"/>
      <c r="EI29" s="124" t="s">
        <v>72</v>
      </c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6"/>
      <c r="EX29" s="47" t="s">
        <v>71</v>
      </c>
      <c r="EY29" s="48"/>
      <c r="EZ29" s="48"/>
      <c r="FA29" s="48"/>
      <c r="FB29" s="48"/>
      <c r="FC29" s="48"/>
      <c r="FD29" s="48"/>
      <c r="FE29" s="48"/>
    </row>
    <row r="30" spans="1:161" s="22" customFormat="1" ht="18" customHeight="1" x14ac:dyDescent="0.25">
      <c r="A30" s="48" t="s">
        <v>51</v>
      </c>
      <c r="B30" s="48"/>
      <c r="C30" s="48"/>
      <c r="D30" s="48"/>
      <c r="E30" s="49"/>
      <c r="F30" s="47" t="s">
        <v>50</v>
      </c>
      <c r="G30" s="48"/>
      <c r="H30" s="48"/>
      <c r="I30" s="48"/>
      <c r="J30" s="48"/>
      <c r="K30" s="48"/>
      <c r="L30" s="48"/>
      <c r="M30" s="48"/>
      <c r="N30" s="49"/>
      <c r="O30" s="47" t="s">
        <v>70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9"/>
      <c r="AH30" s="41" t="s">
        <v>69</v>
      </c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3"/>
      <c r="AX30" s="41" t="s">
        <v>68</v>
      </c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3"/>
      <c r="BL30" s="47" t="s">
        <v>36</v>
      </c>
      <c r="BM30" s="48"/>
      <c r="BN30" s="48"/>
      <c r="BO30" s="48"/>
      <c r="BP30" s="48"/>
      <c r="BQ30" s="48"/>
      <c r="BR30" s="48"/>
      <c r="BS30" s="49"/>
      <c r="BT30" s="47" t="s">
        <v>67</v>
      </c>
      <c r="BU30" s="48"/>
      <c r="BV30" s="48"/>
      <c r="BW30" s="48"/>
      <c r="BX30" s="48"/>
      <c r="BY30" s="48"/>
      <c r="BZ30" s="48"/>
      <c r="CA30" s="48"/>
      <c r="CB30" s="49"/>
      <c r="CC30" s="47" t="s">
        <v>66</v>
      </c>
      <c r="CD30" s="48"/>
      <c r="CE30" s="48"/>
      <c r="CF30" s="48"/>
      <c r="CG30" s="48"/>
      <c r="CH30" s="48"/>
      <c r="CI30" s="48"/>
      <c r="CJ30" s="48"/>
      <c r="CK30" s="49"/>
      <c r="CL30" s="47" t="s">
        <v>65</v>
      </c>
      <c r="CM30" s="48"/>
      <c r="CN30" s="48"/>
      <c r="CO30" s="48"/>
      <c r="CP30" s="48"/>
      <c r="CQ30" s="48"/>
      <c r="CR30" s="48"/>
      <c r="CS30" s="49"/>
      <c r="CT30" s="47" t="s">
        <v>64</v>
      </c>
      <c r="CU30" s="48"/>
      <c r="CV30" s="48"/>
      <c r="CW30" s="48"/>
      <c r="CX30" s="48"/>
      <c r="CY30" s="48"/>
      <c r="CZ30" s="48"/>
      <c r="DA30" s="48"/>
      <c r="DB30" s="48"/>
      <c r="DC30" s="49"/>
      <c r="DD30" s="47" t="s">
        <v>35</v>
      </c>
      <c r="DE30" s="48"/>
      <c r="DF30" s="48"/>
      <c r="DG30" s="48"/>
      <c r="DH30" s="48"/>
      <c r="DI30" s="48"/>
      <c r="DJ30" s="48"/>
      <c r="DK30" s="48"/>
      <c r="DL30" s="48"/>
      <c r="DM30" s="49"/>
      <c r="DN30" s="47" t="s">
        <v>63</v>
      </c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9"/>
      <c r="DZ30" s="47" t="s">
        <v>62</v>
      </c>
      <c r="EA30" s="48"/>
      <c r="EB30" s="48"/>
      <c r="EC30" s="48"/>
      <c r="ED30" s="48"/>
      <c r="EE30" s="48"/>
      <c r="EF30" s="48"/>
      <c r="EG30" s="48"/>
      <c r="EH30" s="49"/>
      <c r="EI30" s="47" t="s">
        <v>61</v>
      </c>
      <c r="EJ30" s="48"/>
      <c r="EK30" s="48"/>
      <c r="EL30" s="48"/>
      <c r="EM30" s="48"/>
      <c r="EN30" s="48"/>
      <c r="EO30" s="49"/>
      <c r="EP30" s="47" t="s">
        <v>60</v>
      </c>
      <c r="EQ30" s="48"/>
      <c r="ER30" s="48"/>
      <c r="ES30" s="48"/>
      <c r="ET30" s="48"/>
      <c r="EU30" s="48"/>
      <c r="EV30" s="48"/>
      <c r="EW30" s="49"/>
      <c r="EX30" s="50"/>
      <c r="EY30" s="51"/>
      <c r="EZ30" s="51"/>
      <c r="FA30" s="51"/>
      <c r="FB30" s="51"/>
      <c r="FC30" s="51"/>
      <c r="FD30" s="51"/>
      <c r="FE30" s="51"/>
    </row>
    <row r="31" spans="1:161" s="22" customFormat="1" ht="79.5" customHeight="1" x14ac:dyDescent="0.25">
      <c r="A31" s="54"/>
      <c r="B31" s="54"/>
      <c r="C31" s="54"/>
      <c r="D31" s="54"/>
      <c r="E31" s="55"/>
      <c r="F31" s="53"/>
      <c r="G31" s="54"/>
      <c r="H31" s="54"/>
      <c r="I31" s="54"/>
      <c r="J31" s="54"/>
      <c r="K31" s="54"/>
      <c r="L31" s="54"/>
      <c r="M31" s="54"/>
      <c r="N31" s="55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5"/>
      <c r="AH31" s="41" t="s">
        <v>34</v>
      </c>
      <c r="AI31" s="42"/>
      <c r="AJ31" s="42"/>
      <c r="AK31" s="42"/>
      <c r="AL31" s="42"/>
      <c r="AM31" s="42"/>
      <c r="AN31" s="43"/>
      <c r="AO31" s="41" t="s">
        <v>59</v>
      </c>
      <c r="AP31" s="42"/>
      <c r="AQ31" s="42"/>
      <c r="AR31" s="42"/>
      <c r="AS31" s="42"/>
      <c r="AT31" s="42"/>
      <c r="AU31" s="42"/>
      <c r="AV31" s="42"/>
      <c r="AW31" s="43"/>
      <c r="AX31" s="41" t="s">
        <v>58</v>
      </c>
      <c r="AY31" s="42"/>
      <c r="AZ31" s="42"/>
      <c r="BA31" s="42"/>
      <c r="BB31" s="42"/>
      <c r="BC31" s="43"/>
      <c r="BD31" s="41" t="s">
        <v>57</v>
      </c>
      <c r="BE31" s="42"/>
      <c r="BF31" s="42"/>
      <c r="BG31" s="42"/>
      <c r="BH31" s="42"/>
      <c r="BI31" s="42"/>
      <c r="BJ31" s="42"/>
      <c r="BK31" s="43"/>
      <c r="BL31" s="53"/>
      <c r="BM31" s="54"/>
      <c r="BN31" s="54"/>
      <c r="BO31" s="54"/>
      <c r="BP31" s="54"/>
      <c r="BQ31" s="54"/>
      <c r="BR31" s="54"/>
      <c r="BS31" s="55"/>
      <c r="BT31" s="53"/>
      <c r="BU31" s="54"/>
      <c r="BV31" s="54"/>
      <c r="BW31" s="54"/>
      <c r="BX31" s="54"/>
      <c r="BY31" s="54"/>
      <c r="BZ31" s="54"/>
      <c r="CA31" s="54"/>
      <c r="CB31" s="55"/>
      <c r="CC31" s="53"/>
      <c r="CD31" s="54"/>
      <c r="CE31" s="54"/>
      <c r="CF31" s="54"/>
      <c r="CG31" s="54"/>
      <c r="CH31" s="54"/>
      <c r="CI31" s="54"/>
      <c r="CJ31" s="54"/>
      <c r="CK31" s="55"/>
      <c r="CL31" s="53"/>
      <c r="CM31" s="54"/>
      <c r="CN31" s="54"/>
      <c r="CO31" s="54"/>
      <c r="CP31" s="54"/>
      <c r="CQ31" s="54"/>
      <c r="CR31" s="54"/>
      <c r="CS31" s="55"/>
      <c r="CT31" s="53"/>
      <c r="CU31" s="54"/>
      <c r="CV31" s="54"/>
      <c r="CW31" s="54"/>
      <c r="CX31" s="54"/>
      <c r="CY31" s="54"/>
      <c r="CZ31" s="54"/>
      <c r="DA31" s="54"/>
      <c r="DB31" s="54"/>
      <c r="DC31" s="55"/>
      <c r="DD31" s="53"/>
      <c r="DE31" s="54"/>
      <c r="DF31" s="54"/>
      <c r="DG31" s="54"/>
      <c r="DH31" s="54"/>
      <c r="DI31" s="54"/>
      <c r="DJ31" s="54"/>
      <c r="DK31" s="54"/>
      <c r="DL31" s="54"/>
      <c r="DM31" s="55"/>
      <c r="DN31" s="53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5"/>
      <c r="DZ31" s="53"/>
      <c r="EA31" s="54"/>
      <c r="EB31" s="54"/>
      <c r="EC31" s="54"/>
      <c r="ED31" s="54"/>
      <c r="EE31" s="54"/>
      <c r="EF31" s="54"/>
      <c r="EG31" s="54"/>
      <c r="EH31" s="55"/>
      <c r="EI31" s="53"/>
      <c r="EJ31" s="54"/>
      <c r="EK31" s="54"/>
      <c r="EL31" s="54"/>
      <c r="EM31" s="54"/>
      <c r="EN31" s="54"/>
      <c r="EO31" s="55"/>
      <c r="EP31" s="53"/>
      <c r="EQ31" s="54"/>
      <c r="ER31" s="54"/>
      <c r="ES31" s="54"/>
      <c r="ET31" s="54"/>
      <c r="EU31" s="54"/>
      <c r="EV31" s="54"/>
      <c r="EW31" s="55"/>
      <c r="EX31" s="53"/>
      <c r="EY31" s="54"/>
      <c r="EZ31" s="54"/>
      <c r="FA31" s="54"/>
      <c r="FB31" s="54"/>
      <c r="FC31" s="54"/>
      <c r="FD31" s="54"/>
      <c r="FE31" s="54"/>
    </row>
    <row r="32" spans="1:161" s="21" customFormat="1" ht="9.75" customHeight="1" thickBot="1" x14ac:dyDescent="0.3">
      <c r="A32" s="58">
        <v>1</v>
      </c>
      <c r="B32" s="58"/>
      <c r="C32" s="58"/>
      <c r="D32" s="58"/>
      <c r="E32" s="59"/>
      <c r="F32" s="57">
        <v>2</v>
      </c>
      <c r="G32" s="58"/>
      <c r="H32" s="58"/>
      <c r="I32" s="58"/>
      <c r="J32" s="58"/>
      <c r="K32" s="58"/>
      <c r="L32" s="58"/>
      <c r="M32" s="58"/>
      <c r="N32" s="59"/>
      <c r="O32" s="57">
        <v>3</v>
      </c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9"/>
      <c r="AH32" s="57">
        <v>4</v>
      </c>
      <c r="AI32" s="58"/>
      <c r="AJ32" s="58"/>
      <c r="AK32" s="58"/>
      <c r="AL32" s="58"/>
      <c r="AM32" s="58"/>
      <c r="AN32" s="59"/>
      <c r="AO32" s="57">
        <v>5</v>
      </c>
      <c r="AP32" s="58"/>
      <c r="AQ32" s="58"/>
      <c r="AR32" s="58"/>
      <c r="AS32" s="58"/>
      <c r="AT32" s="58"/>
      <c r="AU32" s="58"/>
      <c r="AV32" s="58"/>
      <c r="AW32" s="59"/>
      <c r="AX32" s="57">
        <v>6</v>
      </c>
      <c r="AY32" s="58"/>
      <c r="AZ32" s="58"/>
      <c r="BA32" s="58"/>
      <c r="BB32" s="58"/>
      <c r="BC32" s="59"/>
      <c r="BD32" s="57">
        <v>7</v>
      </c>
      <c r="BE32" s="58"/>
      <c r="BF32" s="58"/>
      <c r="BG32" s="58"/>
      <c r="BH32" s="58"/>
      <c r="BI32" s="58"/>
      <c r="BJ32" s="58"/>
      <c r="BK32" s="59"/>
      <c r="BL32" s="57">
        <v>8</v>
      </c>
      <c r="BM32" s="58"/>
      <c r="BN32" s="58"/>
      <c r="BO32" s="58"/>
      <c r="BP32" s="58"/>
      <c r="BQ32" s="58"/>
      <c r="BR32" s="58"/>
      <c r="BS32" s="59"/>
      <c r="BT32" s="57">
        <v>9</v>
      </c>
      <c r="BU32" s="58"/>
      <c r="BV32" s="58"/>
      <c r="BW32" s="58"/>
      <c r="BX32" s="58"/>
      <c r="BY32" s="58"/>
      <c r="BZ32" s="58"/>
      <c r="CA32" s="58"/>
      <c r="CB32" s="59"/>
      <c r="CC32" s="57">
        <v>10</v>
      </c>
      <c r="CD32" s="58"/>
      <c r="CE32" s="58"/>
      <c r="CF32" s="58"/>
      <c r="CG32" s="58"/>
      <c r="CH32" s="58"/>
      <c r="CI32" s="58"/>
      <c r="CJ32" s="58"/>
      <c r="CK32" s="59"/>
      <c r="CL32" s="57">
        <v>11</v>
      </c>
      <c r="CM32" s="58"/>
      <c r="CN32" s="58"/>
      <c r="CO32" s="58"/>
      <c r="CP32" s="58"/>
      <c r="CQ32" s="58"/>
      <c r="CR32" s="58"/>
      <c r="CS32" s="59"/>
      <c r="CT32" s="57">
        <v>12</v>
      </c>
      <c r="CU32" s="58"/>
      <c r="CV32" s="58"/>
      <c r="CW32" s="58"/>
      <c r="CX32" s="58"/>
      <c r="CY32" s="58"/>
      <c r="CZ32" s="58"/>
      <c r="DA32" s="58"/>
      <c r="DB32" s="58"/>
      <c r="DC32" s="59"/>
      <c r="DD32" s="57">
        <v>13</v>
      </c>
      <c r="DE32" s="58"/>
      <c r="DF32" s="58"/>
      <c r="DG32" s="58"/>
      <c r="DH32" s="58"/>
      <c r="DI32" s="58"/>
      <c r="DJ32" s="58"/>
      <c r="DK32" s="58"/>
      <c r="DL32" s="58"/>
      <c r="DM32" s="59"/>
      <c r="DN32" s="57">
        <v>14</v>
      </c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9"/>
      <c r="DZ32" s="57">
        <v>15</v>
      </c>
      <c r="EA32" s="58"/>
      <c r="EB32" s="58"/>
      <c r="EC32" s="58"/>
      <c r="ED32" s="58"/>
      <c r="EE32" s="58"/>
      <c r="EF32" s="58"/>
      <c r="EG32" s="58"/>
      <c r="EH32" s="59"/>
      <c r="EI32" s="57">
        <v>16</v>
      </c>
      <c r="EJ32" s="58"/>
      <c r="EK32" s="58"/>
      <c r="EL32" s="58"/>
      <c r="EM32" s="58"/>
      <c r="EN32" s="58"/>
      <c r="EO32" s="59"/>
      <c r="EP32" s="57">
        <v>17</v>
      </c>
      <c r="EQ32" s="58"/>
      <c r="ER32" s="58"/>
      <c r="ES32" s="58"/>
      <c r="ET32" s="58"/>
      <c r="EU32" s="58"/>
      <c r="EV32" s="58"/>
      <c r="EW32" s="59"/>
      <c r="EX32" s="57">
        <v>18</v>
      </c>
      <c r="EY32" s="58"/>
      <c r="EZ32" s="58"/>
      <c r="FA32" s="58"/>
      <c r="FB32" s="58"/>
      <c r="FC32" s="58"/>
      <c r="FD32" s="58"/>
      <c r="FE32" s="58"/>
    </row>
    <row r="33" spans="1:161" s="20" customFormat="1" ht="53.25" customHeight="1" x14ac:dyDescent="0.15">
      <c r="A33" s="69" t="s">
        <v>30</v>
      </c>
      <c r="B33" s="70"/>
      <c r="C33" s="70"/>
      <c r="D33" s="70"/>
      <c r="E33" s="70"/>
      <c r="F33" s="82" t="s">
        <v>56</v>
      </c>
      <c r="G33" s="82"/>
      <c r="H33" s="82"/>
      <c r="I33" s="82"/>
      <c r="J33" s="82"/>
      <c r="K33" s="82"/>
      <c r="L33" s="82"/>
      <c r="M33" s="82"/>
      <c r="N33" s="82"/>
      <c r="O33" s="163" t="s">
        <v>55</v>
      </c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34">
        <v>643</v>
      </c>
      <c r="AI33" s="134"/>
      <c r="AJ33" s="134"/>
      <c r="AK33" s="134"/>
      <c r="AL33" s="134"/>
      <c r="AM33" s="134"/>
      <c r="AN33" s="134"/>
      <c r="AO33" s="163" t="s">
        <v>54</v>
      </c>
      <c r="AP33" s="163"/>
      <c r="AQ33" s="163"/>
      <c r="AR33" s="163"/>
      <c r="AS33" s="163"/>
      <c r="AT33" s="163"/>
      <c r="AU33" s="163"/>
      <c r="AV33" s="163"/>
      <c r="AW33" s="163"/>
      <c r="AX33" s="82">
        <v>643</v>
      </c>
      <c r="AY33" s="82"/>
      <c r="AZ33" s="82"/>
      <c r="BA33" s="82"/>
      <c r="BB33" s="82"/>
      <c r="BC33" s="82"/>
      <c r="BD33" s="82" t="s">
        <v>54</v>
      </c>
      <c r="BE33" s="82"/>
      <c r="BF33" s="82"/>
      <c r="BG33" s="82"/>
      <c r="BH33" s="82"/>
      <c r="BI33" s="82"/>
      <c r="BJ33" s="82"/>
      <c r="BK33" s="82"/>
      <c r="BL33" s="82">
        <v>2</v>
      </c>
      <c r="BM33" s="82"/>
      <c r="BN33" s="82"/>
      <c r="BO33" s="82"/>
      <c r="BP33" s="82"/>
      <c r="BQ33" s="82"/>
      <c r="BR33" s="82"/>
      <c r="BS33" s="82"/>
      <c r="BT33" s="72">
        <v>48700</v>
      </c>
      <c r="BU33" s="72"/>
      <c r="BV33" s="72"/>
      <c r="BW33" s="72"/>
      <c r="BX33" s="72"/>
      <c r="BY33" s="72"/>
      <c r="BZ33" s="72"/>
      <c r="CA33" s="72"/>
      <c r="CB33" s="72"/>
      <c r="CC33" s="72">
        <f>BL33*BT33</f>
        <v>97400</v>
      </c>
      <c r="CD33" s="72"/>
      <c r="CE33" s="72"/>
      <c r="CF33" s="72"/>
      <c r="CG33" s="72"/>
      <c r="CH33" s="72"/>
      <c r="CI33" s="72"/>
      <c r="CJ33" s="72"/>
      <c r="CK33" s="72"/>
      <c r="CL33" s="76" t="s">
        <v>53</v>
      </c>
      <c r="CM33" s="76"/>
      <c r="CN33" s="76"/>
      <c r="CO33" s="76"/>
      <c r="CP33" s="76"/>
      <c r="CQ33" s="76"/>
      <c r="CR33" s="76"/>
      <c r="CS33" s="76"/>
      <c r="CT33" s="78">
        <v>0</v>
      </c>
      <c r="CU33" s="78"/>
      <c r="CV33" s="78"/>
      <c r="CW33" s="78"/>
      <c r="CX33" s="78"/>
      <c r="CY33" s="78"/>
      <c r="CZ33" s="78"/>
      <c r="DA33" s="78"/>
      <c r="DB33" s="78"/>
      <c r="DC33" s="78"/>
      <c r="DD33" s="72">
        <f>CT33+CC33</f>
        <v>97400</v>
      </c>
      <c r="DE33" s="72"/>
      <c r="DF33" s="72"/>
      <c r="DG33" s="72"/>
      <c r="DH33" s="72"/>
      <c r="DI33" s="72"/>
      <c r="DJ33" s="72"/>
      <c r="DK33" s="72"/>
      <c r="DL33" s="72"/>
      <c r="DM33" s="7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  <c r="FC33" s="82"/>
      <c r="FD33" s="82"/>
      <c r="FE33" s="138"/>
    </row>
    <row r="34" spans="1:161" s="20" customFormat="1" ht="32.25" customHeight="1" thickBot="1" x14ac:dyDescent="0.2">
      <c r="A34" s="111"/>
      <c r="B34" s="74"/>
      <c r="C34" s="74"/>
      <c r="D34" s="74"/>
      <c r="E34" s="74"/>
      <c r="F34" s="110" t="str">
        <f>IF(A34=0,"",IF(VLOOKUP(CONCATENATE([1]стр.1!FJ1,стр.2_3!A34),[2]Информация!Y:AQ,3,0)="","проверте заполнение",VLOOKUP(CONCATENATE([1]стр.1!FJ1,стр.2_3!A34),[2]Информация!Y:AQ,3,0)))</f>
        <v/>
      </c>
      <c r="G34" s="110"/>
      <c r="H34" s="110"/>
      <c r="I34" s="110"/>
      <c r="J34" s="110"/>
      <c r="K34" s="110"/>
      <c r="L34" s="110"/>
      <c r="M34" s="110"/>
      <c r="N34" s="110"/>
      <c r="O34" s="164" t="str">
        <f>IF(A34=0,"",IF(VLOOKUP(CONCATENATE([1]стр.1!FJ1,стр.2_3!A34),[2]Информация!Y:AQ,4,0)="","проверте заполнение",VLOOKUP(CONCATENATE([1]стр.1!FJ1,стр.2_3!A34),[2]Информация!Y:AQ,4,0)))</f>
        <v/>
      </c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33" t="str">
        <f>IF(A34=0,"",IF(VLOOKUP(CONCATENATE([1]стр.1!FJ1,стр.2_3!A34),[2]Информация!Y:AD,5,0)="","Проверте заполенение",VLOOKUP(CONCATENATE([1]стр.1!FJ1,стр.2_3!A34),[2]Информация!Y:AD,5,0)))</f>
        <v/>
      </c>
      <c r="AI34" s="133"/>
      <c r="AJ34" s="133"/>
      <c r="AK34" s="133"/>
      <c r="AL34" s="133"/>
      <c r="AM34" s="133"/>
      <c r="AN34" s="133"/>
      <c r="AO34" s="164" t="str">
        <f>IF(A34=0,"",IF(VLOOKUP(CONCATENATE([1]стр.1!FJ1,стр.2_3!A34),[2]Информация!Y:AQ,6,0)="","проверте заполнение",VLOOKUP(CONCATENATE([1]стр.1!FJ1,стр.2_3!A34),[2]Информация!Y:AQ,6,0)))</f>
        <v/>
      </c>
      <c r="AP34" s="164"/>
      <c r="AQ34" s="164"/>
      <c r="AR34" s="164"/>
      <c r="AS34" s="164"/>
      <c r="AT34" s="164"/>
      <c r="AU34" s="164"/>
      <c r="AV34" s="164"/>
      <c r="AW34" s="164"/>
      <c r="AX34" s="110" t="str">
        <f>IF(A34=0,"",IF(VLOOKUP(CONCATENATE([1]стр.1!FJ1,стр.2_3!A34),[2]Информация!Y:AQ,7,0)="","проверте заполнение",VLOOKUP(CONCATENATE([1]стр.1!FJ1,стр.2_3!A34),[2]Информация!Y:AQ,7,0)))</f>
        <v/>
      </c>
      <c r="AY34" s="110"/>
      <c r="AZ34" s="110"/>
      <c r="BA34" s="110"/>
      <c r="BB34" s="110"/>
      <c r="BC34" s="110"/>
      <c r="BD34" s="110" t="str">
        <f>IF(A34=0,"",IF(VLOOKUP(CONCATENATE([1]стр.1!FJ1,стр.2_3!A33),[2]Информация!Y:AQ,8,0)="","проверте заполнение",VLOOKUP(CONCATENATE([1]стр.1!FJ1,стр.2_3!A33),[2]Информация!Y:AQ,8,0)))</f>
        <v/>
      </c>
      <c r="BE34" s="110"/>
      <c r="BF34" s="110"/>
      <c r="BG34" s="110"/>
      <c r="BH34" s="110"/>
      <c r="BI34" s="110"/>
      <c r="BJ34" s="110"/>
      <c r="BK34" s="110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3" t="str">
        <f>IF(A34=0,"",IF(BL34=0,BT34,BL34*BT34))</f>
        <v/>
      </c>
      <c r="CD34" s="73"/>
      <c r="CE34" s="73"/>
      <c r="CF34" s="73"/>
      <c r="CG34" s="73"/>
      <c r="CH34" s="73"/>
      <c r="CI34" s="73"/>
      <c r="CJ34" s="73"/>
      <c r="CK34" s="73"/>
      <c r="CL34" s="77" t="str">
        <f>IF(A34=0,"",IF(VLOOKUP(CONCATENATE([1]стр.1!FJ1,стр.2_3!A34),[2]Информация!Y:AQ,13,0)="","проверте заполнение",VLOOKUP(CONCATENATE([1]стр.1!FJ1,стр.2_3!A34),[2]Информация!Y:AQ,13,0)))</f>
        <v/>
      </c>
      <c r="CM34" s="77"/>
      <c r="CN34" s="77"/>
      <c r="CO34" s="77"/>
      <c r="CP34" s="77"/>
      <c r="CQ34" s="77"/>
      <c r="CR34" s="77"/>
      <c r="CS34" s="77"/>
      <c r="CT34" s="73" t="str">
        <f>IF(CL34="","",CC34*CL34)</f>
        <v/>
      </c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139"/>
    </row>
    <row r="35" spans="1:161" s="18" customFormat="1" ht="10.5" customHeight="1" thickBot="1" x14ac:dyDescent="0.25">
      <c r="DC35" s="25" t="s">
        <v>32</v>
      </c>
      <c r="DD35" s="135">
        <f>DD33+DD34</f>
        <v>97400</v>
      </c>
      <c r="DE35" s="136"/>
      <c r="DF35" s="136"/>
      <c r="DG35" s="136"/>
      <c r="DH35" s="136"/>
      <c r="DI35" s="136"/>
      <c r="DJ35" s="136"/>
      <c r="DK35" s="136"/>
      <c r="DL35" s="136"/>
      <c r="DM35" s="137"/>
    </row>
    <row r="36" spans="1:161" s="24" customFormat="1" ht="4.5" customHeight="1" x14ac:dyDescent="0.2"/>
    <row r="37" spans="1:161" s="18" customFormat="1" ht="10.5" x14ac:dyDescent="0.2">
      <c r="A37" s="23" t="s">
        <v>52</v>
      </c>
    </row>
    <row r="38" spans="1:161" ht="4.5" customHeight="1" x14ac:dyDescent="0.2"/>
    <row r="39" spans="1:161" s="22" customFormat="1" ht="10.5" customHeight="1" x14ac:dyDescent="0.25">
      <c r="A39" s="48" t="s">
        <v>51</v>
      </c>
      <c r="B39" s="48"/>
      <c r="C39" s="48"/>
      <c r="D39" s="48"/>
      <c r="E39" s="49"/>
      <c r="F39" s="47" t="s">
        <v>50</v>
      </c>
      <c r="G39" s="48"/>
      <c r="H39" s="48"/>
      <c r="I39" s="48"/>
      <c r="J39" s="48"/>
      <c r="K39" s="48"/>
      <c r="L39" s="48"/>
      <c r="M39" s="48"/>
      <c r="N39" s="49"/>
      <c r="O39" s="47" t="s">
        <v>49</v>
      </c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9"/>
      <c r="AL39" s="47" t="s">
        <v>48</v>
      </c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9"/>
      <c r="BD39" s="124" t="s">
        <v>47</v>
      </c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6"/>
      <c r="CN39" s="124" t="s">
        <v>46</v>
      </c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  <c r="DA39" s="125"/>
      <c r="DB39" s="125"/>
      <c r="DC39" s="125"/>
      <c r="DD39" s="125"/>
      <c r="DE39" s="125"/>
      <c r="DF39" s="125"/>
      <c r="DG39" s="125"/>
      <c r="DH39" s="125"/>
      <c r="DI39" s="125"/>
      <c r="DJ39" s="125"/>
      <c r="DK39" s="125"/>
      <c r="DL39" s="125"/>
      <c r="DM39" s="125"/>
      <c r="DN39" s="125"/>
      <c r="DO39" s="125"/>
      <c r="DP39" s="125"/>
      <c r="DQ39" s="125"/>
      <c r="DR39" s="125"/>
      <c r="DS39" s="125"/>
      <c r="DT39" s="125"/>
      <c r="DU39" s="125"/>
      <c r="DV39" s="125"/>
      <c r="DW39" s="125"/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</row>
    <row r="40" spans="1:161" s="22" customFormat="1" ht="18" customHeight="1" x14ac:dyDescent="0.25">
      <c r="A40" s="51"/>
      <c r="B40" s="51"/>
      <c r="C40" s="51"/>
      <c r="D40" s="51"/>
      <c r="E40" s="52"/>
      <c r="F40" s="50"/>
      <c r="G40" s="51"/>
      <c r="H40" s="51"/>
      <c r="I40" s="51"/>
      <c r="J40" s="51"/>
      <c r="K40" s="51"/>
      <c r="L40" s="51"/>
      <c r="M40" s="51"/>
      <c r="N40" s="52"/>
      <c r="O40" s="50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2"/>
      <c r="AL40" s="53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5"/>
      <c r="BD40" s="124" t="s">
        <v>45</v>
      </c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6"/>
      <c r="BV40" s="124" t="s">
        <v>44</v>
      </c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6"/>
      <c r="CN40" s="53" t="s">
        <v>43</v>
      </c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5"/>
      <c r="DF40" s="53" t="s">
        <v>42</v>
      </c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5"/>
      <c r="DV40" s="50" t="s">
        <v>41</v>
      </c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2"/>
      <c r="EL40" s="50" t="s">
        <v>40</v>
      </c>
      <c r="EM40" s="51"/>
      <c r="EN40" s="51"/>
      <c r="EO40" s="51"/>
      <c r="EP40" s="51"/>
      <c r="EQ40" s="51"/>
      <c r="ER40" s="51"/>
      <c r="ES40" s="51"/>
      <c r="ET40" s="51"/>
      <c r="EU40" s="51"/>
      <c r="EV40" s="52"/>
      <c r="EW40" s="47" t="s">
        <v>39</v>
      </c>
      <c r="EX40" s="48"/>
      <c r="EY40" s="48"/>
      <c r="EZ40" s="48"/>
      <c r="FA40" s="48"/>
      <c r="FB40" s="48"/>
      <c r="FC40" s="48"/>
      <c r="FD40" s="48"/>
      <c r="FE40" s="48"/>
    </row>
    <row r="41" spans="1:161" s="22" customFormat="1" ht="69.75" customHeight="1" x14ac:dyDescent="0.25">
      <c r="A41" s="54"/>
      <c r="B41" s="54"/>
      <c r="C41" s="54"/>
      <c r="D41" s="54"/>
      <c r="E41" s="55"/>
      <c r="F41" s="53"/>
      <c r="G41" s="54"/>
      <c r="H41" s="54"/>
      <c r="I41" s="54"/>
      <c r="J41" s="54"/>
      <c r="K41" s="54"/>
      <c r="L41" s="54"/>
      <c r="M41" s="54"/>
      <c r="N41" s="55"/>
      <c r="O41" s="53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5"/>
      <c r="AL41" s="56" t="s">
        <v>36</v>
      </c>
      <c r="AM41" s="56"/>
      <c r="AN41" s="56"/>
      <c r="AO41" s="56"/>
      <c r="AP41" s="56"/>
      <c r="AQ41" s="56"/>
      <c r="AR41" s="56"/>
      <c r="AS41" s="56"/>
      <c r="AT41" s="41" t="s">
        <v>35</v>
      </c>
      <c r="AU41" s="42"/>
      <c r="AV41" s="42"/>
      <c r="AW41" s="42"/>
      <c r="AX41" s="42"/>
      <c r="AY41" s="42"/>
      <c r="AZ41" s="42"/>
      <c r="BA41" s="42"/>
      <c r="BB41" s="42"/>
      <c r="BC41" s="43"/>
      <c r="BD41" s="56" t="s">
        <v>38</v>
      </c>
      <c r="BE41" s="56"/>
      <c r="BF41" s="56"/>
      <c r="BG41" s="56"/>
      <c r="BH41" s="56"/>
      <c r="BI41" s="56"/>
      <c r="BJ41" s="56"/>
      <c r="BK41" s="56"/>
      <c r="BL41" s="41" t="s">
        <v>37</v>
      </c>
      <c r="BM41" s="42"/>
      <c r="BN41" s="42"/>
      <c r="BO41" s="42"/>
      <c r="BP41" s="42"/>
      <c r="BQ41" s="42"/>
      <c r="BR41" s="42"/>
      <c r="BS41" s="42"/>
      <c r="BT41" s="42"/>
      <c r="BU41" s="43"/>
      <c r="BV41" s="56" t="s">
        <v>38</v>
      </c>
      <c r="BW41" s="56"/>
      <c r="BX41" s="56"/>
      <c r="BY41" s="56"/>
      <c r="BZ41" s="56"/>
      <c r="CA41" s="56"/>
      <c r="CB41" s="56"/>
      <c r="CC41" s="56"/>
      <c r="CD41" s="41" t="s">
        <v>37</v>
      </c>
      <c r="CE41" s="42"/>
      <c r="CF41" s="42"/>
      <c r="CG41" s="42"/>
      <c r="CH41" s="42"/>
      <c r="CI41" s="42"/>
      <c r="CJ41" s="42"/>
      <c r="CK41" s="42"/>
      <c r="CL41" s="42"/>
      <c r="CM41" s="43"/>
      <c r="CN41" s="56" t="s">
        <v>36</v>
      </c>
      <c r="CO41" s="56"/>
      <c r="CP41" s="56"/>
      <c r="CQ41" s="56"/>
      <c r="CR41" s="56"/>
      <c r="CS41" s="56"/>
      <c r="CT41" s="56"/>
      <c r="CU41" s="56"/>
      <c r="CV41" s="41" t="s">
        <v>35</v>
      </c>
      <c r="CW41" s="42"/>
      <c r="CX41" s="42"/>
      <c r="CY41" s="42"/>
      <c r="CZ41" s="42"/>
      <c r="DA41" s="42"/>
      <c r="DB41" s="42"/>
      <c r="DC41" s="42"/>
      <c r="DD41" s="42"/>
      <c r="DE41" s="43"/>
      <c r="DF41" s="41" t="s">
        <v>34</v>
      </c>
      <c r="DG41" s="42"/>
      <c r="DH41" s="42"/>
      <c r="DI41" s="42"/>
      <c r="DJ41" s="42"/>
      <c r="DK41" s="42"/>
      <c r="DL41" s="43"/>
      <c r="DM41" s="41" t="s">
        <v>33</v>
      </c>
      <c r="DN41" s="42"/>
      <c r="DO41" s="42"/>
      <c r="DP41" s="42"/>
      <c r="DQ41" s="42"/>
      <c r="DR41" s="42"/>
      <c r="DS41" s="42"/>
      <c r="DT41" s="42"/>
      <c r="DU41" s="43"/>
      <c r="DV41" s="53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5"/>
      <c r="EL41" s="53"/>
      <c r="EM41" s="54"/>
      <c r="EN41" s="54"/>
      <c r="EO41" s="54"/>
      <c r="EP41" s="54"/>
      <c r="EQ41" s="54"/>
      <c r="ER41" s="54"/>
      <c r="ES41" s="54"/>
      <c r="ET41" s="54"/>
      <c r="EU41" s="54"/>
      <c r="EV41" s="55"/>
      <c r="EW41" s="53"/>
      <c r="EX41" s="54"/>
      <c r="EY41" s="54"/>
      <c r="EZ41" s="54"/>
      <c r="FA41" s="54"/>
      <c r="FB41" s="54"/>
      <c r="FC41" s="54"/>
      <c r="FD41" s="54"/>
      <c r="FE41" s="54"/>
    </row>
    <row r="42" spans="1:161" s="21" customFormat="1" ht="9.75" customHeight="1" thickBot="1" x14ac:dyDescent="0.3">
      <c r="A42" s="58">
        <v>1</v>
      </c>
      <c r="B42" s="58"/>
      <c r="C42" s="58"/>
      <c r="D42" s="58"/>
      <c r="E42" s="59"/>
      <c r="F42" s="57">
        <v>2</v>
      </c>
      <c r="G42" s="58"/>
      <c r="H42" s="58"/>
      <c r="I42" s="58"/>
      <c r="J42" s="58"/>
      <c r="K42" s="58"/>
      <c r="L42" s="58"/>
      <c r="M42" s="58"/>
      <c r="N42" s="59"/>
      <c r="O42" s="79">
        <v>3</v>
      </c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1"/>
      <c r="AL42" s="57">
        <v>4</v>
      </c>
      <c r="AM42" s="58"/>
      <c r="AN42" s="58"/>
      <c r="AO42" s="58"/>
      <c r="AP42" s="58"/>
      <c r="AQ42" s="58"/>
      <c r="AR42" s="58"/>
      <c r="AS42" s="59"/>
      <c r="AT42" s="57">
        <v>5</v>
      </c>
      <c r="AU42" s="58"/>
      <c r="AV42" s="58"/>
      <c r="AW42" s="58"/>
      <c r="AX42" s="58"/>
      <c r="AY42" s="58"/>
      <c r="AZ42" s="58"/>
      <c r="BA42" s="58"/>
      <c r="BB42" s="58"/>
      <c r="BC42" s="59"/>
      <c r="BD42" s="57">
        <v>6</v>
      </c>
      <c r="BE42" s="58"/>
      <c r="BF42" s="58"/>
      <c r="BG42" s="58"/>
      <c r="BH42" s="58"/>
      <c r="BI42" s="58"/>
      <c r="BJ42" s="58"/>
      <c r="BK42" s="59"/>
      <c r="BL42" s="57">
        <v>7</v>
      </c>
      <c r="BM42" s="58"/>
      <c r="BN42" s="58"/>
      <c r="BO42" s="58"/>
      <c r="BP42" s="58"/>
      <c r="BQ42" s="58"/>
      <c r="BR42" s="58"/>
      <c r="BS42" s="58"/>
      <c r="BT42" s="58"/>
      <c r="BU42" s="59"/>
      <c r="BV42" s="57">
        <v>8</v>
      </c>
      <c r="BW42" s="58"/>
      <c r="BX42" s="58"/>
      <c r="BY42" s="58"/>
      <c r="BZ42" s="58"/>
      <c r="CA42" s="58"/>
      <c r="CB42" s="58"/>
      <c r="CC42" s="59"/>
      <c r="CD42" s="57">
        <v>9</v>
      </c>
      <c r="CE42" s="58"/>
      <c r="CF42" s="58"/>
      <c r="CG42" s="58"/>
      <c r="CH42" s="58"/>
      <c r="CI42" s="58"/>
      <c r="CJ42" s="58"/>
      <c r="CK42" s="58"/>
      <c r="CL42" s="58"/>
      <c r="CM42" s="59"/>
      <c r="CN42" s="57">
        <v>10</v>
      </c>
      <c r="CO42" s="58"/>
      <c r="CP42" s="58"/>
      <c r="CQ42" s="58"/>
      <c r="CR42" s="58"/>
      <c r="CS42" s="58"/>
      <c r="CT42" s="58"/>
      <c r="CU42" s="59"/>
      <c r="CV42" s="57">
        <v>11</v>
      </c>
      <c r="CW42" s="58"/>
      <c r="CX42" s="58"/>
      <c r="CY42" s="58"/>
      <c r="CZ42" s="58"/>
      <c r="DA42" s="58"/>
      <c r="DB42" s="58"/>
      <c r="DC42" s="58"/>
      <c r="DD42" s="58"/>
      <c r="DE42" s="59"/>
      <c r="DF42" s="79">
        <v>12</v>
      </c>
      <c r="DG42" s="80"/>
      <c r="DH42" s="80"/>
      <c r="DI42" s="80"/>
      <c r="DJ42" s="80"/>
      <c r="DK42" s="80"/>
      <c r="DL42" s="81"/>
      <c r="DM42" s="79">
        <v>13</v>
      </c>
      <c r="DN42" s="80"/>
      <c r="DO42" s="80"/>
      <c r="DP42" s="80"/>
      <c r="DQ42" s="80"/>
      <c r="DR42" s="80"/>
      <c r="DS42" s="80"/>
      <c r="DT42" s="80"/>
      <c r="DU42" s="81"/>
      <c r="DV42" s="79">
        <v>14</v>
      </c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81"/>
      <c r="EL42" s="79">
        <v>15</v>
      </c>
      <c r="EM42" s="80"/>
      <c r="EN42" s="80"/>
      <c r="EO42" s="80"/>
      <c r="EP42" s="80"/>
      <c r="EQ42" s="80"/>
      <c r="ER42" s="80"/>
      <c r="ES42" s="80"/>
      <c r="ET42" s="80"/>
      <c r="EU42" s="80"/>
      <c r="EV42" s="81"/>
      <c r="EW42" s="57">
        <v>16</v>
      </c>
      <c r="EX42" s="58"/>
      <c r="EY42" s="58"/>
      <c r="EZ42" s="58"/>
      <c r="FA42" s="58"/>
      <c r="FB42" s="58"/>
      <c r="FC42" s="58"/>
      <c r="FD42" s="58"/>
      <c r="FE42" s="58"/>
    </row>
    <row r="43" spans="1:161" s="20" customFormat="1" ht="9.75" customHeight="1" x14ac:dyDescent="0.15">
      <c r="A43" s="158"/>
      <c r="B43" s="115"/>
      <c r="C43" s="115"/>
      <c r="D43" s="115"/>
      <c r="E43" s="116"/>
      <c r="F43" s="114"/>
      <c r="G43" s="115"/>
      <c r="H43" s="115"/>
      <c r="I43" s="115"/>
      <c r="J43" s="115"/>
      <c r="K43" s="115"/>
      <c r="L43" s="115"/>
      <c r="M43" s="115"/>
      <c r="N43" s="116"/>
      <c r="O43" s="130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2"/>
      <c r="AL43" s="60"/>
      <c r="AM43" s="61"/>
      <c r="AN43" s="61"/>
      <c r="AO43" s="61"/>
      <c r="AP43" s="61"/>
      <c r="AQ43" s="61"/>
      <c r="AR43" s="61"/>
      <c r="AS43" s="62"/>
      <c r="AT43" s="60"/>
      <c r="AU43" s="61"/>
      <c r="AV43" s="61"/>
      <c r="AW43" s="61"/>
      <c r="AX43" s="61"/>
      <c r="AY43" s="61"/>
      <c r="AZ43" s="61"/>
      <c r="BA43" s="61"/>
      <c r="BB43" s="61"/>
      <c r="BC43" s="62"/>
      <c r="BD43" s="60"/>
      <c r="BE43" s="61"/>
      <c r="BF43" s="61"/>
      <c r="BG43" s="61"/>
      <c r="BH43" s="61"/>
      <c r="BI43" s="61"/>
      <c r="BJ43" s="61"/>
      <c r="BK43" s="62"/>
      <c r="BL43" s="60"/>
      <c r="BM43" s="61"/>
      <c r="BN43" s="61"/>
      <c r="BO43" s="61"/>
      <c r="BP43" s="61"/>
      <c r="BQ43" s="61"/>
      <c r="BR43" s="61"/>
      <c r="BS43" s="61"/>
      <c r="BT43" s="61"/>
      <c r="BU43" s="62"/>
      <c r="BV43" s="60"/>
      <c r="BW43" s="61"/>
      <c r="BX43" s="61"/>
      <c r="BY43" s="61"/>
      <c r="BZ43" s="61"/>
      <c r="CA43" s="61"/>
      <c r="CB43" s="61"/>
      <c r="CC43" s="62"/>
      <c r="CD43" s="60"/>
      <c r="CE43" s="61"/>
      <c r="CF43" s="61"/>
      <c r="CG43" s="61"/>
      <c r="CH43" s="61"/>
      <c r="CI43" s="61"/>
      <c r="CJ43" s="61"/>
      <c r="CK43" s="61"/>
      <c r="CL43" s="61"/>
      <c r="CM43" s="62"/>
      <c r="CN43" s="60"/>
      <c r="CO43" s="61"/>
      <c r="CP43" s="61"/>
      <c r="CQ43" s="61"/>
      <c r="CR43" s="61"/>
      <c r="CS43" s="61"/>
      <c r="CT43" s="61"/>
      <c r="CU43" s="62"/>
      <c r="CV43" s="60"/>
      <c r="CW43" s="61"/>
      <c r="CX43" s="61"/>
      <c r="CY43" s="61"/>
      <c r="CZ43" s="61"/>
      <c r="DA43" s="61"/>
      <c r="DB43" s="61"/>
      <c r="DC43" s="61"/>
      <c r="DD43" s="61"/>
      <c r="DE43" s="62"/>
      <c r="DF43" s="114"/>
      <c r="DG43" s="115"/>
      <c r="DH43" s="115"/>
      <c r="DI43" s="115"/>
      <c r="DJ43" s="115"/>
      <c r="DK43" s="115"/>
      <c r="DL43" s="116"/>
      <c r="DM43" s="140"/>
      <c r="DN43" s="141"/>
      <c r="DO43" s="141"/>
      <c r="DP43" s="141"/>
      <c r="DQ43" s="141"/>
      <c r="DR43" s="141"/>
      <c r="DS43" s="141"/>
      <c r="DT43" s="141"/>
      <c r="DU43" s="149"/>
      <c r="DV43" s="114"/>
      <c r="DW43" s="115"/>
      <c r="DX43" s="115"/>
      <c r="DY43" s="115"/>
      <c r="DZ43" s="115"/>
      <c r="EA43" s="115"/>
      <c r="EB43" s="115"/>
      <c r="EC43" s="115"/>
      <c r="ED43" s="115"/>
      <c r="EE43" s="115"/>
      <c r="EF43" s="115"/>
      <c r="EG43" s="115"/>
      <c r="EH43" s="115"/>
      <c r="EI43" s="115"/>
      <c r="EJ43" s="115"/>
      <c r="EK43" s="116"/>
      <c r="EL43" s="140"/>
      <c r="EM43" s="141"/>
      <c r="EN43" s="141"/>
      <c r="EO43" s="141"/>
      <c r="EP43" s="141"/>
      <c r="EQ43" s="141"/>
      <c r="ER43" s="141"/>
      <c r="ES43" s="141"/>
      <c r="ET43" s="141"/>
      <c r="EU43" s="141"/>
      <c r="EV43" s="149"/>
      <c r="EW43" s="140"/>
      <c r="EX43" s="141"/>
      <c r="EY43" s="141"/>
      <c r="EZ43" s="141"/>
      <c r="FA43" s="141"/>
      <c r="FB43" s="141"/>
      <c r="FC43" s="141"/>
      <c r="FD43" s="141"/>
      <c r="FE43" s="142"/>
    </row>
    <row r="44" spans="1:161" s="20" customFormat="1" ht="9.75" customHeight="1" thickBot="1" x14ac:dyDescent="0.2">
      <c r="A44" s="154"/>
      <c r="B44" s="128"/>
      <c r="C44" s="128"/>
      <c r="D44" s="128"/>
      <c r="E44" s="129"/>
      <c r="F44" s="127"/>
      <c r="G44" s="128"/>
      <c r="H44" s="128"/>
      <c r="I44" s="128"/>
      <c r="J44" s="128"/>
      <c r="K44" s="128"/>
      <c r="L44" s="128"/>
      <c r="M44" s="128"/>
      <c r="N44" s="129"/>
      <c r="O44" s="165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7"/>
      <c r="AL44" s="122"/>
      <c r="AM44" s="121"/>
      <c r="AN44" s="121"/>
      <c r="AO44" s="121"/>
      <c r="AP44" s="121"/>
      <c r="AQ44" s="121"/>
      <c r="AR44" s="121"/>
      <c r="AS44" s="121"/>
      <c r="AT44" s="122"/>
      <c r="AU44" s="121"/>
      <c r="AV44" s="121"/>
      <c r="AW44" s="121"/>
      <c r="AX44" s="121"/>
      <c r="AY44" s="121"/>
      <c r="AZ44" s="121"/>
      <c r="BA44" s="121"/>
      <c r="BB44" s="121"/>
      <c r="BC44" s="123"/>
      <c r="BD44" s="121"/>
      <c r="BE44" s="121"/>
      <c r="BF44" s="121"/>
      <c r="BG44" s="121"/>
      <c r="BH44" s="121"/>
      <c r="BI44" s="121"/>
      <c r="BJ44" s="121"/>
      <c r="BK44" s="121"/>
      <c r="BL44" s="122"/>
      <c r="BM44" s="121"/>
      <c r="BN44" s="121"/>
      <c r="BO44" s="121"/>
      <c r="BP44" s="121"/>
      <c r="BQ44" s="121"/>
      <c r="BR44" s="121"/>
      <c r="BS44" s="121"/>
      <c r="BT44" s="121"/>
      <c r="BU44" s="123"/>
      <c r="BV44" s="121"/>
      <c r="BW44" s="121"/>
      <c r="BX44" s="121"/>
      <c r="BY44" s="121"/>
      <c r="BZ44" s="121"/>
      <c r="CA44" s="121"/>
      <c r="CB44" s="121"/>
      <c r="CC44" s="121"/>
      <c r="CD44" s="122"/>
      <c r="CE44" s="121"/>
      <c r="CF44" s="121"/>
      <c r="CG44" s="121"/>
      <c r="CH44" s="121"/>
      <c r="CI44" s="121"/>
      <c r="CJ44" s="121"/>
      <c r="CK44" s="121"/>
      <c r="CL44" s="121"/>
      <c r="CM44" s="123"/>
      <c r="CN44" s="121"/>
      <c r="CO44" s="121"/>
      <c r="CP44" s="121"/>
      <c r="CQ44" s="121"/>
      <c r="CR44" s="121"/>
      <c r="CS44" s="121"/>
      <c r="CT44" s="121"/>
      <c r="CU44" s="121"/>
      <c r="CV44" s="122"/>
      <c r="CW44" s="121"/>
      <c r="CX44" s="121"/>
      <c r="CY44" s="121"/>
      <c r="CZ44" s="121"/>
      <c r="DA44" s="121"/>
      <c r="DB44" s="121"/>
      <c r="DC44" s="121"/>
      <c r="DD44" s="121"/>
      <c r="DE44" s="123"/>
      <c r="DF44" s="127"/>
      <c r="DG44" s="128"/>
      <c r="DH44" s="128"/>
      <c r="DI44" s="128"/>
      <c r="DJ44" s="128"/>
      <c r="DK44" s="128"/>
      <c r="DL44" s="129"/>
      <c r="DM44" s="143"/>
      <c r="DN44" s="144"/>
      <c r="DO44" s="144"/>
      <c r="DP44" s="144"/>
      <c r="DQ44" s="144"/>
      <c r="DR44" s="144"/>
      <c r="DS44" s="144"/>
      <c r="DT44" s="144"/>
      <c r="DU44" s="150"/>
      <c r="DV44" s="127"/>
      <c r="DW44" s="128"/>
      <c r="DX44" s="128"/>
      <c r="DY44" s="128"/>
      <c r="DZ44" s="128"/>
      <c r="EA44" s="128"/>
      <c r="EB44" s="128"/>
      <c r="EC44" s="128"/>
      <c r="ED44" s="128"/>
      <c r="EE44" s="128"/>
      <c r="EF44" s="128"/>
      <c r="EG44" s="128"/>
      <c r="EH44" s="128"/>
      <c r="EI44" s="128"/>
      <c r="EJ44" s="128"/>
      <c r="EK44" s="129"/>
      <c r="EL44" s="143"/>
      <c r="EM44" s="144"/>
      <c r="EN44" s="144"/>
      <c r="EO44" s="144"/>
      <c r="EP44" s="144"/>
      <c r="EQ44" s="144"/>
      <c r="ER44" s="144"/>
      <c r="ES44" s="144"/>
      <c r="ET44" s="144"/>
      <c r="EU44" s="144"/>
      <c r="EV44" s="150"/>
      <c r="EW44" s="143"/>
      <c r="EX44" s="144"/>
      <c r="EY44" s="144"/>
      <c r="EZ44" s="144"/>
      <c r="FA44" s="144"/>
      <c r="FB44" s="144"/>
      <c r="FC44" s="144"/>
      <c r="FD44" s="144"/>
      <c r="FE44" s="145"/>
    </row>
    <row r="45" spans="1:161" s="18" customFormat="1" ht="10.5" customHeight="1" thickBot="1" x14ac:dyDescent="0.25">
      <c r="AL45" s="156" t="s">
        <v>32</v>
      </c>
      <c r="AM45" s="156"/>
      <c r="AN45" s="156"/>
      <c r="AO45" s="156"/>
      <c r="AP45" s="156"/>
      <c r="AQ45" s="156"/>
      <c r="AR45" s="156"/>
      <c r="AS45" s="156"/>
      <c r="AT45" s="117"/>
      <c r="AU45" s="118"/>
      <c r="AV45" s="118"/>
      <c r="AW45" s="118"/>
      <c r="AX45" s="118"/>
      <c r="AY45" s="118"/>
      <c r="AZ45" s="118"/>
      <c r="BA45" s="118"/>
      <c r="BB45" s="118"/>
      <c r="BC45" s="119"/>
      <c r="BD45" s="148" t="s">
        <v>31</v>
      </c>
      <c r="BE45" s="148"/>
      <c r="BF45" s="148"/>
      <c r="BG45" s="148"/>
      <c r="BH45" s="148"/>
      <c r="BI45" s="148"/>
      <c r="BJ45" s="148"/>
      <c r="BK45" s="148"/>
      <c r="BL45" s="117"/>
      <c r="BM45" s="118"/>
      <c r="BN45" s="118"/>
      <c r="BO45" s="118"/>
      <c r="BP45" s="118"/>
      <c r="BQ45" s="118"/>
      <c r="BR45" s="118"/>
      <c r="BS45" s="118"/>
      <c r="BT45" s="118"/>
      <c r="BU45" s="119"/>
      <c r="BV45" s="148" t="s">
        <v>31</v>
      </c>
      <c r="BW45" s="148"/>
      <c r="BX45" s="148"/>
      <c r="BY45" s="148"/>
      <c r="BZ45" s="148"/>
      <c r="CA45" s="148"/>
      <c r="CB45" s="148"/>
      <c r="CC45" s="148"/>
      <c r="CD45" s="117"/>
      <c r="CE45" s="118"/>
      <c r="CF45" s="118"/>
      <c r="CG45" s="118"/>
      <c r="CH45" s="118"/>
      <c r="CI45" s="118"/>
      <c r="CJ45" s="118"/>
      <c r="CK45" s="118"/>
      <c r="CL45" s="118"/>
      <c r="CM45" s="119"/>
      <c r="CN45" s="148" t="s">
        <v>31</v>
      </c>
      <c r="CO45" s="148"/>
      <c r="CP45" s="148"/>
      <c r="CQ45" s="148"/>
      <c r="CR45" s="148"/>
      <c r="CS45" s="148"/>
      <c r="CT45" s="148"/>
      <c r="CU45" s="148"/>
      <c r="CV45" s="117"/>
      <c r="CW45" s="118"/>
      <c r="CX45" s="118"/>
      <c r="CY45" s="118"/>
      <c r="CZ45" s="118"/>
      <c r="DA45" s="118"/>
      <c r="DB45" s="118"/>
      <c r="DC45" s="118"/>
      <c r="DD45" s="118"/>
      <c r="DE45" s="119"/>
      <c r="DF45" s="19"/>
      <c r="DG45" s="19"/>
      <c r="DH45" s="19"/>
      <c r="DI45" s="19"/>
      <c r="DJ45" s="19"/>
      <c r="DK45" s="19"/>
      <c r="DL45" s="19"/>
    </row>
    <row r="46" spans="1:161" ht="4.5" customHeight="1" x14ac:dyDescent="0.2"/>
    <row r="47" spans="1:161" s="14" customFormat="1" ht="10.5" customHeight="1" x14ac:dyDescent="0.2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3"/>
      <c r="N47" s="17" t="s">
        <v>27</v>
      </c>
      <c r="O47" s="157" t="s">
        <v>30</v>
      </c>
      <c r="P47" s="157"/>
      <c r="Q47" s="157"/>
      <c r="R47" s="157"/>
      <c r="S47" s="157"/>
      <c r="T47" s="157"/>
      <c r="U47" s="157"/>
      <c r="V47" s="157"/>
      <c r="Z47" s="155" t="s">
        <v>29</v>
      </c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"/>
      <c r="CT47" s="15"/>
      <c r="CU47" s="15"/>
      <c r="CV47" s="120"/>
      <c r="CW47" s="120"/>
      <c r="CX47" s="120"/>
      <c r="CY47" s="120"/>
      <c r="CZ47" s="120"/>
      <c r="DA47" s="120"/>
      <c r="DB47" s="120"/>
      <c r="DC47" s="120"/>
      <c r="DD47" s="120"/>
      <c r="DE47" s="120"/>
      <c r="DF47" s="120"/>
      <c r="DG47" s="120"/>
      <c r="DH47" s="120"/>
      <c r="DI47" s="120"/>
      <c r="DJ47" s="120"/>
      <c r="DK47" s="120"/>
      <c r="DL47" s="120"/>
      <c r="DM47" s="120"/>
      <c r="DN47" s="120"/>
      <c r="DO47" s="120"/>
      <c r="DP47" s="120"/>
      <c r="DQ47" s="120"/>
      <c r="DR47" s="120"/>
      <c r="DS47" s="120"/>
      <c r="DT47" s="120"/>
      <c r="DW47" s="16"/>
      <c r="DX47" s="16"/>
      <c r="DY47" s="16"/>
      <c r="DZ47" s="16"/>
      <c r="EA47" s="16"/>
      <c r="EB47" s="15"/>
      <c r="EC47" s="15"/>
      <c r="ED47" s="15"/>
      <c r="EE47" s="15"/>
      <c r="EF47" s="15"/>
    </row>
    <row r="48" spans="1:161" s="3" customFormat="1" ht="9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Z48" s="151" t="s">
        <v>26</v>
      </c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2"/>
      <c r="CT48" s="12"/>
      <c r="CU48" s="12"/>
      <c r="CV48" s="146" t="s">
        <v>25</v>
      </c>
      <c r="CW48" s="146"/>
      <c r="CX48" s="146"/>
      <c r="CY48" s="146"/>
      <c r="CZ48" s="146"/>
      <c r="DA48" s="146"/>
      <c r="DB48" s="146"/>
      <c r="DC48" s="146"/>
      <c r="DD48" s="146"/>
      <c r="DE48" s="146"/>
      <c r="DF48" s="146"/>
      <c r="DG48" s="146"/>
      <c r="DH48" s="146"/>
      <c r="DI48" s="146"/>
      <c r="DJ48" s="146"/>
      <c r="DK48" s="146"/>
      <c r="DL48" s="146"/>
      <c r="DM48" s="146"/>
      <c r="DN48" s="146"/>
      <c r="DO48" s="146"/>
      <c r="DP48" s="146"/>
      <c r="DQ48" s="146"/>
      <c r="DR48" s="146"/>
      <c r="DS48" s="146"/>
      <c r="DT48" s="146"/>
      <c r="DW48" s="12"/>
      <c r="DX48" s="12"/>
      <c r="DY48" s="12"/>
      <c r="DZ48" s="12"/>
      <c r="EA48" s="12"/>
      <c r="EB48" s="12"/>
      <c r="EC48" s="12"/>
      <c r="ED48" s="12"/>
      <c r="EE48" s="12"/>
      <c r="EF48" s="12"/>
    </row>
    <row r="49" spans="1:155" s="14" customFormat="1" ht="10.5" customHeight="1" x14ac:dyDescent="0.2">
      <c r="A49" s="13" t="s">
        <v>28</v>
      </c>
      <c r="B49" s="13"/>
      <c r="C49" s="13"/>
      <c r="D49" s="13"/>
      <c r="E49" s="13"/>
      <c r="F49" s="13"/>
      <c r="G49" s="13"/>
      <c r="H49" s="13"/>
      <c r="I49" s="13"/>
      <c r="J49" s="13"/>
      <c r="N49" s="17" t="s">
        <v>27</v>
      </c>
      <c r="O49" s="157"/>
      <c r="P49" s="157"/>
      <c r="Q49" s="157"/>
      <c r="R49" s="157"/>
      <c r="S49" s="157"/>
      <c r="T49" s="157"/>
      <c r="U49" s="157"/>
      <c r="V49" s="157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"/>
      <c r="CT49" s="15"/>
      <c r="CU49" s="15"/>
      <c r="CV49" s="120"/>
      <c r="CW49" s="120"/>
      <c r="CX49" s="120"/>
      <c r="CY49" s="120"/>
      <c r="CZ49" s="120"/>
      <c r="DA49" s="120"/>
      <c r="DB49" s="120"/>
      <c r="DC49" s="120"/>
      <c r="DD49" s="120"/>
      <c r="DE49" s="120"/>
      <c r="DF49" s="120"/>
      <c r="DG49" s="120"/>
      <c r="DH49" s="120"/>
      <c r="DI49" s="120"/>
      <c r="DJ49" s="120"/>
      <c r="DK49" s="120"/>
      <c r="DL49" s="120"/>
      <c r="DM49" s="120"/>
      <c r="DN49" s="120"/>
      <c r="DO49" s="120"/>
      <c r="DP49" s="120"/>
      <c r="DQ49" s="120"/>
      <c r="DR49" s="120"/>
      <c r="DS49" s="120"/>
      <c r="DT49" s="120"/>
      <c r="DW49" s="16"/>
      <c r="DX49" s="16"/>
      <c r="DY49" s="16"/>
      <c r="DZ49" s="16"/>
      <c r="EA49" s="16"/>
      <c r="EB49" s="15"/>
      <c r="EC49" s="15"/>
      <c r="ED49" s="15"/>
      <c r="EE49" s="15"/>
      <c r="EF49" s="15"/>
    </row>
    <row r="50" spans="1:155" s="3" customFormat="1" ht="9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Z50" s="151" t="s">
        <v>26</v>
      </c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151"/>
      <c r="CO50" s="151"/>
      <c r="CP50" s="151"/>
      <c r="CQ50" s="151"/>
      <c r="CR50" s="151"/>
      <c r="CS50" s="12"/>
      <c r="CT50" s="12"/>
      <c r="CU50" s="12"/>
      <c r="CV50" s="146" t="s">
        <v>25</v>
      </c>
      <c r="CW50" s="146"/>
      <c r="CX50" s="146"/>
      <c r="CY50" s="146"/>
      <c r="CZ50" s="146"/>
      <c r="DA50" s="146"/>
      <c r="DB50" s="146"/>
      <c r="DC50" s="146"/>
      <c r="DD50" s="146"/>
      <c r="DE50" s="146"/>
      <c r="DF50" s="146"/>
      <c r="DG50" s="146"/>
      <c r="DH50" s="146"/>
      <c r="DI50" s="146"/>
      <c r="DJ50" s="146"/>
      <c r="DK50" s="146"/>
      <c r="DL50" s="146"/>
      <c r="DM50" s="146"/>
      <c r="DN50" s="146"/>
      <c r="DO50" s="146"/>
      <c r="DP50" s="146"/>
      <c r="DQ50" s="146"/>
      <c r="DR50" s="146"/>
      <c r="DS50" s="146"/>
      <c r="DT50" s="146"/>
      <c r="DW50" s="12"/>
      <c r="DX50" s="12"/>
      <c r="DY50" s="12"/>
      <c r="DZ50" s="12"/>
      <c r="EA50" s="12"/>
      <c r="EB50" s="12"/>
      <c r="EC50" s="12"/>
      <c r="ED50" s="12"/>
      <c r="EE50" s="12"/>
      <c r="EF50" s="12"/>
    </row>
    <row r="51" spans="1:155" s="5" customFormat="1" ht="10.5" customHeight="1" x14ac:dyDescent="0.2">
      <c r="A51" s="5" t="s">
        <v>24</v>
      </c>
      <c r="V51" s="6"/>
      <c r="W51" s="6"/>
      <c r="X51" s="6"/>
      <c r="Y51" s="6"/>
      <c r="Z51" s="6"/>
      <c r="AA51" s="147" t="s">
        <v>23</v>
      </c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6"/>
      <c r="AV51" s="6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P51" s="147" t="s">
        <v>22</v>
      </c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ET51" s="6"/>
      <c r="EU51" s="6"/>
      <c r="EV51" s="6"/>
      <c r="EW51" s="6"/>
      <c r="EX51" s="6"/>
      <c r="EY51" s="6"/>
    </row>
    <row r="52" spans="1:155" s="3" customFormat="1" ht="9.75" customHeight="1" x14ac:dyDescent="0.25">
      <c r="AA52" s="66" t="s">
        <v>4</v>
      </c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X52" s="66" t="s">
        <v>3</v>
      </c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P52" s="66" t="s">
        <v>2</v>
      </c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</row>
    <row r="53" spans="1:155" s="5" customFormat="1" ht="10.5" customHeight="1" x14ac:dyDescent="0.2">
      <c r="A53" s="5" t="s">
        <v>21</v>
      </c>
      <c r="V53" s="6"/>
      <c r="W53" s="6"/>
      <c r="X53" s="6"/>
      <c r="Y53" s="6"/>
      <c r="Z53" s="6"/>
      <c r="AA53" s="147" t="s">
        <v>20</v>
      </c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6"/>
      <c r="AV53" s="6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P53" s="147" t="s">
        <v>19</v>
      </c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EP53" s="14"/>
      <c r="EQ53" s="13"/>
      <c r="ER53" s="13"/>
    </row>
    <row r="54" spans="1:155" s="3" customFormat="1" ht="9.75" customHeight="1" x14ac:dyDescent="0.25">
      <c r="AA54" s="66" t="s">
        <v>4</v>
      </c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X54" s="66" t="s">
        <v>3</v>
      </c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P54" s="66" t="s">
        <v>2</v>
      </c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EQ54" s="12"/>
      <c r="ER54" s="12"/>
    </row>
    <row r="55" spans="1:155" s="5" customFormat="1" ht="30.75" customHeight="1" x14ac:dyDescent="0.2">
      <c r="V55" s="6"/>
      <c r="W55" s="6"/>
      <c r="X55" s="6"/>
      <c r="Y55" s="6"/>
      <c r="Z55" s="6"/>
      <c r="AA55" s="153" t="s">
        <v>18</v>
      </c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6"/>
      <c r="AV55" s="6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P55" s="147" t="s">
        <v>17</v>
      </c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  <c r="CC55" s="147"/>
      <c r="CD55" s="147"/>
      <c r="CE55" s="147"/>
      <c r="CF55" s="147"/>
      <c r="CG55" s="147"/>
      <c r="CH55" s="147"/>
      <c r="CI55" s="147"/>
      <c r="CJ55" s="147"/>
      <c r="CK55" s="147"/>
      <c r="ET55" s="6"/>
      <c r="EU55" s="6"/>
      <c r="EV55" s="6"/>
      <c r="EW55" s="6"/>
      <c r="EX55" s="6"/>
      <c r="EY55" s="6"/>
    </row>
    <row r="56" spans="1:155" s="3" customFormat="1" ht="9.75" customHeight="1" x14ac:dyDescent="0.25">
      <c r="AA56" s="66" t="s">
        <v>4</v>
      </c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X56" s="66" t="s">
        <v>3</v>
      </c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P56" s="66" t="s">
        <v>2</v>
      </c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</row>
    <row r="57" spans="1:155" s="5" customFormat="1" ht="21" customHeight="1" x14ac:dyDescent="0.2">
      <c r="V57" s="6"/>
      <c r="W57" s="6"/>
      <c r="X57" s="6"/>
      <c r="Y57" s="6"/>
      <c r="Z57" s="6"/>
      <c r="AA57" s="159" t="s">
        <v>16</v>
      </c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6"/>
      <c r="AV57" s="6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P57" s="147" t="s">
        <v>15</v>
      </c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  <c r="CC57" s="147"/>
      <c r="CD57" s="147"/>
      <c r="CE57" s="147"/>
      <c r="CF57" s="147"/>
      <c r="CG57" s="147"/>
      <c r="CH57" s="147"/>
      <c r="CI57" s="147"/>
      <c r="CJ57" s="147"/>
      <c r="CK57" s="147"/>
      <c r="ET57" s="6"/>
      <c r="EU57" s="6"/>
      <c r="EV57" s="6"/>
      <c r="EW57" s="6"/>
      <c r="EX57" s="6"/>
      <c r="EY57" s="6"/>
    </row>
    <row r="58" spans="1:155" s="3" customFormat="1" ht="9.75" customHeight="1" x14ac:dyDescent="0.25">
      <c r="AA58" s="66" t="s">
        <v>4</v>
      </c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X58" s="66" t="s">
        <v>3</v>
      </c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P58" s="66" t="s">
        <v>2</v>
      </c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</row>
    <row r="59" spans="1:155" s="5" customFormat="1" ht="31.5" customHeight="1" x14ac:dyDescent="0.25">
      <c r="A59" s="5" t="s">
        <v>14</v>
      </c>
      <c r="AA59" s="159" t="str">
        <f>AA55</f>
        <v>Главный специалист,системный администратор</v>
      </c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6"/>
      <c r="AV59" s="6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P59" s="147" t="str">
        <f>BP55</f>
        <v>И.А. Трощенко</v>
      </c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  <c r="CC59" s="147"/>
      <c r="CD59" s="147"/>
      <c r="CE59" s="147"/>
      <c r="CF59" s="147"/>
      <c r="CG59" s="147"/>
      <c r="CH59" s="147"/>
      <c r="CI59" s="147"/>
      <c r="CJ59" s="147"/>
      <c r="CK59" s="147"/>
      <c r="CO59" s="162" t="s">
        <v>13</v>
      </c>
      <c r="CP59" s="162"/>
      <c r="CQ59" s="162"/>
      <c r="CR59" s="162"/>
      <c r="CS59" s="162"/>
      <c r="CT59" s="162"/>
      <c r="CU59" s="162"/>
      <c r="CV59" s="162"/>
      <c r="CW59" s="162"/>
      <c r="CX59" s="162"/>
      <c r="CY59" s="162"/>
      <c r="CZ59" s="162"/>
      <c r="DA59" s="162"/>
      <c r="DB59" s="162"/>
      <c r="DC59" s="162"/>
      <c r="DD59" s="162"/>
      <c r="DE59" s="162"/>
      <c r="DF59" s="162"/>
      <c r="DG59" s="162"/>
      <c r="DH59" s="162"/>
      <c r="DL59" s="160" t="s">
        <v>12</v>
      </c>
      <c r="DM59" s="161"/>
      <c r="DN59" s="161"/>
      <c r="DO59" s="161"/>
      <c r="DP59" s="161"/>
      <c r="DQ59" s="161"/>
      <c r="DR59" s="161"/>
      <c r="DS59" s="161"/>
      <c r="DT59" s="161"/>
      <c r="DU59" s="161"/>
      <c r="DV59" s="161"/>
      <c r="DW59" s="161"/>
      <c r="DX59" s="161"/>
      <c r="DY59" s="161"/>
      <c r="DZ59" s="161"/>
      <c r="EA59" s="161"/>
      <c r="EB59" s="161"/>
      <c r="EC59" s="161"/>
      <c r="ED59" s="161"/>
      <c r="EE59" s="161"/>
      <c r="EF59" s="11"/>
      <c r="EG59" s="11"/>
      <c r="EH59" s="11"/>
      <c r="EI59" s="11"/>
      <c r="EJ59" s="11"/>
    </row>
    <row r="60" spans="1:155" s="3" customFormat="1" ht="9.75" customHeight="1" x14ac:dyDescent="0.25">
      <c r="AA60" s="66" t="s">
        <v>4</v>
      </c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X60" s="66" t="s">
        <v>3</v>
      </c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P60" s="66" t="s">
        <v>2</v>
      </c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O60" s="66" t="s">
        <v>11</v>
      </c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L60" s="66" t="s">
        <v>10</v>
      </c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</row>
    <row r="61" spans="1:155" s="5" customFormat="1" ht="28.5" customHeight="1" x14ac:dyDescent="0.2">
      <c r="A61" s="5" t="s">
        <v>9</v>
      </c>
      <c r="V61" s="6"/>
      <c r="W61" s="6"/>
      <c r="X61" s="6"/>
      <c r="Y61" s="6"/>
      <c r="Z61" s="6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"/>
      <c r="AV61" s="6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  <c r="CJ61" s="112"/>
      <c r="CK61" s="112"/>
      <c r="ET61" s="6"/>
      <c r="EU61" s="6"/>
      <c r="EV61" s="6"/>
      <c r="EW61" s="6"/>
      <c r="EX61" s="6"/>
      <c r="EY61" s="6"/>
    </row>
    <row r="62" spans="1:155" s="3" customFormat="1" ht="9.75" customHeight="1" x14ac:dyDescent="0.25">
      <c r="A62" s="4" t="s">
        <v>8</v>
      </c>
      <c r="AA62" s="66" t="s">
        <v>4</v>
      </c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X62" s="66" t="s">
        <v>3</v>
      </c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P62" s="66" t="s">
        <v>2</v>
      </c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</row>
    <row r="63" spans="1:155" s="3" customFormat="1" ht="4.5" customHeight="1" x14ac:dyDescent="0.25">
      <c r="A63" s="4"/>
    </row>
    <row r="64" spans="1:155" s="2" customFormat="1" ht="10.5" customHeight="1" x14ac:dyDescent="0.2">
      <c r="A64" s="44" t="s">
        <v>1</v>
      </c>
      <c r="B64" s="44"/>
      <c r="C64" s="45">
        <f>C69</f>
        <v>9</v>
      </c>
      <c r="D64" s="46"/>
      <c r="E64" s="46"/>
      <c r="F64" s="67" t="s">
        <v>1</v>
      </c>
      <c r="G64" s="67"/>
      <c r="H64" s="45" t="str">
        <f>H69</f>
        <v>июня</v>
      </c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4">
        <v>20</v>
      </c>
      <c r="X64" s="44"/>
      <c r="Y64" s="44"/>
      <c r="Z64" s="63" t="str">
        <f>Z69</f>
        <v>26</v>
      </c>
      <c r="AA64" s="64"/>
      <c r="AB64" s="64"/>
      <c r="AC64" s="67" t="s">
        <v>0</v>
      </c>
      <c r="AD64" s="67"/>
      <c r="AE64" s="67"/>
    </row>
    <row r="65" spans="1:155" s="2" customFormat="1" ht="4.5" customHeight="1" x14ac:dyDescent="0.2">
      <c r="B65" s="9"/>
      <c r="C65" s="10"/>
      <c r="D65" s="10"/>
      <c r="E65" s="10"/>
      <c r="F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9"/>
      <c r="Y65" s="9"/>
      <c r="Z65" s="9"/>
      <c r="AA65" s="7"/>
      <c r="AB65" s="8"/>
      <c r="AC65" s="7"/>
      <c r="AD65" s="7"/>
    </row>
    <row r="66" spans="1:155" s="5" customFormat="1" ht="10.5" customHeight="1" x14ac:dyDescent="0.2">
      <c r="A66" s="5" t="s">
        <v>7</v>
      </c>
      <c r="V66" s="6"/>
      <c r="W66" s="6"/>
      <c r="X66" s="6"/>
      <c r="Y66" s="6"/>
      <c r="Z66" s="6"/>
      <c r="AA66" s="147" t="s">
        <v>6</v>
      </c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6"/>
      <c r="AV66" s="6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P66" s="147" t="s">
        <v>5</v>
      </c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ET66" s="6"/>
      <c r="EU66" s="6"/>
      <c r="EV66" s="6"/>
      <c r="EW66" s="6"/>
      <c r="EX66" s="6"/>
      <c r="EY66" s="6"/>
    </row>
    <row r="67" spans="1:155" s="3" customFormat="1" ht="9.75" customHeight="1" x14ac:dyDescent="0.25">
      <c r="A67" s="4"/>
      <c r="AA67" s="66" t="s">
        <v>4</v>
      </c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X67" s="66" t="s">
        <v>3</v>
      </c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P67" s="66" t="s">
        <v>2</v>
      </c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</row>
    <row r="68" spans="1:155" s="3" customFormat="1" ht="4.5" customHeight="1" x14ac:dyDescent="0.25">
      <c r="A68" s="4"/>
    </row>
    <row r="69" spans="1:155" s="2" customFormat="1" ht="10.5" customHeight="1" x14ac:dyDescent="0.2">
      <c r="A69" s="44" t="s">
        <v>1</v>
      </c>
      <c r="B69" s="44"/>
      <c r="C69" s="45">
        <f>[1]стр.1!BW11</f>
        <v>9</v>
      </c>
      <c r="D69" s="46"/>
      <c r="E69" s="46"/>
      <c r="F69" s="67" t="s">
        <v>1</v>
      </c>
      <c r="G69" s="67"/>
      <c r="H69" s="45" t="str">
        <f>[1]стр.1!CB11</f>
        <v>июня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4">
        <v>20</v>
      </c>
      <c r="X69" s="44"/>
      <c r="Y69" s="44"/>
      <c r="Z69" s="63" t="str">
        <f>[1]стр.1!CT11</f>
        <v>26</v>
      </c>
      <c r="AA69" s="64"/>
      <c r="AB69" s="64"/>
      <c r="AC69" s="67" t="s">
        <v>0</v>
      </c>
      <c r="AD69" s="67"/>
      <c r="AE69" s="67"/>
    </row>
    <row r="70" spans="1:155" ht="3" customHeight="1" x14ac:dyDescent="0.2"/>
  </sheetData>
  <mergeCells count="339">
    <mergeCell ref="EK4:FE6"/>
    <mergeCell ref="A29:EH29"/>
    <mergeCell ref="EX29:FE31"/>
    <mergeCell ref="EN15:FE15"/>
    <mergeCell ref="AO32:AW32"/>
    <mergeCell ref="DZ32:EH32"/>
    <mergeCell ref="EX32:FE32"/>
    <mergeCell ref="BE23:BS23"/>
    <mergeCell ref="BV23:CT23"/>
    <mergeCell ref="G8:R8"/>
    <mergeCell ref="DY6:EJ6"/>
    <mergeCell ref="EI32:EO32"/>
    <mergeCell ref="EI30:EO31"/>
    <mergeCell ref="EI29:EW29"/>
    <mergeCell ref="EK8:FE8"/>
    <mergeCell ref="EP32:EW32"/>
    <mergeCell ref="EP30:EW31"/>
    <mergeCell ref="DL59:EE59"/>
    <mergeCell ref="DL60:EE60"/>
    <mergeCell ref="CO59:DH59"/>
    <mergeCell ref="BP61:CK61"/>
    <mergeCell ref="BP62:CK62"/>
    <mergeCell ref="CO60:DH60"/>
    <mergeCell ref="BP59:CK59"/>
    <mergeCell ref="AA67:AT67"/>
    <mergeCell ref="AX67:BL67"/>
    <mergeCell ref="AX61:BL61"/>
    <mergeCell ref="BP67:CK67"/>
    <mergeCell ref="AA66:AT66"/>
    <mergeCell ref="AX66:BL66"/>
    <mergeCell ref="BP66:CK66"/>
    <mergeCell ref="BP57:CK57"/>
    <mergeCell ref="AA60:AT60"/>
    <mergeCell ref="AX60:BL60"/>
    <mergeCell ref="BP60:CK60"/>
    <mergeCell ref="AA58:AT58"/>
    <mergeCell ref="AX58:BL58"/>
    <mergeCell ref="BP58:CK58"/>
    <mergeCell ref="AA59:AT59"/>
    <mergeCell ref="AX59:BL59"/>
    <mergeCell ref="AA57:AT57"/>
    <mergeCell ref="AX57:BL57"/>
    <mergeCell ref="BP56:CK56"/>
    <mergeCell ref="AA55:AT55"/>
    <mergeCell ref="CV50:DT50"/>
    <mergeCell ref="CN41:CU41"/>
    <mergeCell ref="BD41:BK41"/>
    <mergeCell ref="BL41:BU41"/>
    <mergeCell ref="BD40:BU40"/>
    <mergeCell ref="BV41:CC41"/>
    <mergeCell ref="CD41:CM41"/>
    <mergeCell ref="Z48:CR48"/>
    <mergeCell ref="CD44:CM44"/>
    <mergeCell ref="AT42:BC42"/>
    <mergeCell ref="AT43:BC43"/>
    <mergeCell ref="Z47:CR47"/>
    <mergeCell ref="AL45:AS45"/>
    <mergeCell ref="CD45:CM45"/>
    <mergeCell ref="BD45:BK45"/>
    <mergeCell ref="AX54:BL54"/>
    <mergeCell ref="BP54:CK54"/>
    <mergeCell ref="DF40:DU40"/>
    <mergeCell ref="AL44:AS44"/>
    <mergeCell ref="AX55:BL55"/>
    <mergeCell ref="O44:AK44"/>
    <mergeCell ref="AL39:BC40"/>
    <mergeCell ref="BP53:CK53"/>
    <mergeCell ref="CV49:DT49"/>
    <mergeCell ref="Z49:CR49"/>
    <mergeCell ref="AA53:AT53"/>
    <mergeCell ref="EL42:EV42"/>
    <mergeCell ref="EL43:EV43"/>
    <mergeCell ref="EL44:EV44"/>
    <mergeCell ref="AX53:BL53"/>
    <mergeCell ref="BP55:CK55"/>
    <mergeCell ref="CV48:DT48"/>
    <mergeCell ref="EL40:EV41"/>
    <mergeCell ref="BP52:CK52"/>
    <mergeCell ref="AX51:BL51"/>
    <mergeCell ref="BP51:CK51"/>
    <mergeCell ref="AA51:AT51"/>
    <mergeCell ref="BD43:BK43"/>
    <mergeCell ref="CD43:CM43"/>
    <mergeCell ref="BL43:BU43"/>
    <mergeCell ref="BV43:CC43"/>
    <mergeCell ref="BV44:CC44"/>
    <mergeCell ref="BV45:CC45"/>
    <mergeCell ref="CN45:CU45"/>
    <mergeCell ref="DV42:EK42"/>
    <mergeCell ref="DV43:EK43"/>
    <mergeCell ref="BL45:BU45"/>
    <mergeCell ref="DM43:DU43"/>
    <mergeCell ref="DM44:DU44"/>
    <mergeCell ref="CN44:CU44"/>
    <mergeCell ref="CV44:DE44"/>
    <mergeCell ref="AA52:AT52"/>
    <mergeCell ref="AX52:BL52"/>
    <mergeCell ref="Z50:CR50"/>
    <mergeCell ref="DV40:EK41"/>
    <mergeCell ref="BE22:BS22"/>
    <mergeCell ref="BV22:CT22"/>
    <mergeCell ref="AD23:BB23"/>
    <mergeCell ref="AT44:BC44"/>
    <mergeCell ref="BL30:BS31"/>
    <mergeCell ref="CN39:FE39"/>
    <mergeCell ref="EW40:FE41"/>
    <mergeCell ref="EW43:FE43"/>
    <mergeCell ref="DZ33:EH33"/>
    <mergeCell ref="EW44:FE44"/>
    <mergeCell ref="BL32:BS32"/>
    <mergeCell ref="BD33:BK33"/>
    <mergeCell ref="AO33:AW33"/>
    <mergeCell ref="AO34:AW34"/>
    <mergeCell ref="BL33:BS33"/>
    <mergeCell ref="O32:AG32"/>
    <mergeCell ref="O30:AG31"/>
    <mergeCell ref="AH30:AW30"/>
    <mergeCell ref="AX30:BK30"/>
    <mergeCell ref="O34:AG34"/>
    <mergeCell ref="O33:AG33"/>
    <mergeCell ref="AO31:AW31"/>
    <mergeCell ref="EP33:EW33"/>
    <mergeCell ref="EP34:EW34"/>
    <mergeCell ref="EX33:FE33"/>
    <mergeCell ref="EX34:FE34"/>
    <mergeCell ref="EW42:FE42"/>
    <mergeCell ref="DV44:EK44"/>
    <mergeCell ref="EI33:EO33"/>
    <mergeCell ref="EI34:EO34"/>
    <mergeCell ref="DZ34:EH34"/>
    <mergeCell ref="CV47:DT47"/>
    <mergeCell ref="AT45:BC45"/>
    <mergeCell ref="CN43:CU43"/>
    <mergeCell ref="BD44:BK44"/>
    <mergeCell ref="BL44:BU44"/>
    <mergeCell ref="BD39:CM39"/>
    <mergeCell ref="BD42:BK42"/>
    <mergeCell ref="CD42:CM42"/>
    <mergeCell ref="DM41:DU41"/>
    <mergeCell ref="DF44:DL44"/>
    <mergeCell ref="CN42:CU42"/>
    <mergeCell ref="CV42:DE42"/>
    <mergeCell ref="BV42:CC42"/>
    <mergeCell ref="BV40:CM40"/>
    <mergeCell ref="DF41:DL41"/>
    <mergeCell ref="DF43:DL43"/>
    <mergeCell ref="CV43:DE43"/>
    <mergeCell ref="CV45:DE45"/>
    <mergeCell ref="S6:AB6"/>
    <mergeCell ref="S7:AB7"/>
    <mergeCell ref="S8:AB8"/>
    <mergeCell ref="Z20:AB20"/>
    <mergeCell ref="BN15:CA15"/>
    <mergeCell ref="AD22:BB22"/>
    <mergeCell ref="CB15:CM15"/>
    <mergeCell ref="O43:AK43"/>
    <mergeCell ref="BD34:BK34"/>
    <mergeCell ref="BL34:BS34"/>
    <mergeCell ref="AH31:AN31"/>
    <mergeCell ref="AH32:AN32"/>
    <mergeCell ref="AX34:BC34"/>
    <mergeCell ref="BD31:BK31"/>
    <mergeCell ref="BD32:BK32"/>
    <mergeCell ref="AH34:AN34"/>
    <mergeCell ref="O42:AK42"/>
    <mergeCell ref="AX31:BC31"/>
    <mergeCell ref="AX32:BC32"/>
    <mergeCell ref="AX33:BC33"/>
    <mergeCell ref="AH33:AN33"/>
    <mergeCell ref="AD17:BB17"/>
    <mergeCell ref="AD18:BB18"/>
    <mergeCell ref="CB12:CM13"/>
    <mergeCell ref="AC14:AP14"/>
    <mergeCell ref="AC20:AE20"/>
    <mergeCell ref="CG6:CP6"/>
    <mergeCell ref="BD14:BM14"/>
    <mergeCell ref="BK7:BT7"/>
    <mergeCell ref="BU7:CF7"/>
    <mergeCell ref="CG7:CP7"/>
    <mergeCell ref="BE17:BS17"/>
    <mergeCell ref="BE18:BS18"/>
    <mergeCell ref="BV17:CT17"/>
    <mergeCell ref="BV18:CT18"/>
    <mergeCell ref="BU6:CF6"/>
    <mergeCell ref="CN15:CW15"/>
    <mergeCell ref="R14:AB14"/>
    <mergeCell ref="R15:AB15"/>
    <mergeCell ref="CB14:CM14"/>
    <mergeCell ref="G12:Q13"/>
    <mergeCell ref="A14:F14"/>
    <mergeCell ref="G15:Q15"/>
    <mergeCell ref="CX15:DG15"/>
    <mergeCell ref="DH15:EM15"/>
    <mergeCell ref="R12:AB13"/>
    <mergeCell ref="AC12:AP13"/>
    <mergeCell ref="AQ13:BC13"/>
    <mergeCell ref="AQ12:BM12"/>
    <mergeCell ref="BD13:BM13"/>
    <mergeCell ref="BD15:BM15"/>
    <mergeCell ref="BN14:CA14"/>
    <mergeCell ref="CX13:DG13"/>
    <mergeCell ref="AC15:AP15"/>
    <mergeCell ref="AQ14:BC14"/>
    <mergeCell ref="AQ15:BC15"/>
    <mergeCell ref="A15:F15"/>
    <mergeCell ref="EN14:FE14"/>
    <mergeCell ref="EN12:FE13"/>
    <mergeCell ref="CN12:DG12"/>
    <mergeCell ref="DH14:EM14"/>
    <mergeCell ref="DH12:EM13"/>
    <mergeCell ref="G14:Q14"/>
    <mergeCell ref="AY7:BJ7"/>
    <mergeCell ref="BN12:CA13"/>
    <mergeCell ref="A12:F13"/>
    <mergeCell ref="CN13:CW13"/>
    <mergeCell ref="CN14:CW14"/>
    <mergeCell ref="G7:R7"/>
    <mergeCell ref="EK7:FE7"/>
    <mergeCell ref="DC6:DL6"/>
    <mergeCell ref="DM6:DX6"/>
    <mergeCell ref="BK6:BT6"/>
    <mergeCell ref="AY5:BT5"/>
    <mergeCell ref="BU5:CP5"/>
    <mergeCell ref="CQ5:DL5"/>
    <mergeCell ref="DM4:EJ5"/>
    <mergeCell ref="G4:DL4"/>
    <mergeCell ref="AY8:BJ8"/>
    <mergeCell ref="BK8:BT8"/>
    <mergeCell ref="BU8:CF8"/>
    <mergeCell ref="CG8:CP8"/>
    <mergeCell ref="AY6:BJ6"/>
    <mergeCell ref="CQ6:DB6"/>
    <mergeCell ref="AC5:AX5"/>
    <mergeCell ref="G6:R6"/>
    <mergeCell ref="CX14:DG14"/>
    <mergeCell ref="CQ7:DB7"/>
    <mergeCell ref="DC7:DL7"/>
    <mergeCell ref="DM7:DX7"/>
    <mergeCell ref="DY7:EJ7"/>
    <mergeCell ref="CQ8:DB8"/>
    <mergeCell ref="DC8:DL8"/>
    <mergeCell ref="DM8:DX8"/>
    <mergeCell ref="DY8:EJ8"/>
    <mergeCell ref="A8:F8"/>
    <mergeCell ref="A4:F6"/>
    <mergeCell ref="AC6:AN6"/>
    <mergeCell ref="AO6:AX6"/>
    <mergeCell ref="AC7:AN7"/>
    <mergeCell ref="AO7:AX7"/>
    <mergeCell ref="AC8:AN8"/>
    <mergeCell ref="AO8:AX8"/>
    <mergeCell ref="G5:AB5"/>
    <mergeCell ref="A7:F7"/>
    <mergeCell ref="BL42:BU42"/>
    <mergeCell ref="CT33:DC33"/>
    <mergeCell ref="CV41:DE41"/>
    <mergeCell ref="CN40:DE40"/>
    <mergeCell ref="DZ30:EH31"/>
    <mergeCell ref="A42:E42"/>
    <mergeCell ref="F42:N42"/>
    <mergeCell ref="DF42:DL42"/>
    <mergeCell ref="DM42:DU42"/>
    <mergeCell ref="DN32:DY32"/>
    <mergeCell ref="DN33:DY33"/>
    <mergeCell ref="DD30:DM31"/>
    <mergeCell ref="CL32:CS32"/>
    <mergeCell ref="A30:E31"/>
    <mergeCell ref="F30:N31"/>
    <mergeCell ref="F34:N34"/>
    <mergeCell ref="F33:N33"/>
    <mergeCell ref="A32:E32"/>
    <mergeCell ref="A34:E34"/>
    <mergeCell ref="DD35:DM35"/>
    <mergeCell ref="A39:E41"/>
    <mergeCell ref="DD32:DM32"/>
    <mergeCell ref="DD33:DM33"/>
    <mergeCell ref="DD34:DM34"/>
    <mergeCell ref="CL30:CS31"/>
    <mergeCell ref="DN34:DY34"/>
    <mergeCell ref="CT32:DC32"/>
    <mergeCell ref="DN30:DY31"/>
    <mergeCell ref="CT30:DC31"/>
    <mergeCell ref="BT34:CB34"/>
    <mergeCell ref="BT30:CB31"/>
    <mergeCell ref="CC32:CK32"/>
    <mergeCell ref="CC33:CK33"/>
    <mergeCell ref="CC34:CK34"/>
    <mergeCell ref="CC30:CK31"/>
    <mergeCell ref="BT32:CB32"/>
    <mergeCell ref="BT33:CB33"/>
    <mergeCell ref="CT34:DC34"/>
    <mergeCell ref="CL33:CS33"/>
    <mergeCell ref="CL34:CS34"/>
    <mergeCell ref="A69:B69"/>
    <mergeCell ref="C69:E69"/>
    <mergeCell ref="F69:G69"/>
    <mergeCell ref="H69:V69"/>
    <mergeCell ref="W69:Y69"/>
    <mergeCell ref="Z69:AB69"/>
    <mergeCell ref="AC69:AE69"/>
    <mergeCell ref="A20:B20"/>
    <mergeCell ref="C20:E20"/>
    <mergeCell ref="W20:Y20"/>
    <mergeCell ref="F20:G20"/>
    <mergeCell ref="H20:V20"/>
    <mergeCell ref="A33:E33"/>
    <mergeCell ref="F32:N32"/>
    <mergeCell ref="C25:E25"/>
    <mergeCell ref="F25:G25"/>
    <mergeCell ref="H25:V25"/>
    <mergeCell ref="W25:Y25"/>
    <mergeCell ref="Z25:AB25"/>
    <mergeCell ref="AC25:AE25"/>
    <mergeCell ref="A25:B25"/>
    <mergeCell ref="AA56:AT56"/>
    <mergeCell ref="A44:E44"/>
    <mergeCell ref="F44:N44"/>
    <mergeCell ref="AT41:BC41"/>
    <mergeCell ref="A64:B64"/>
    <mergeCell ref="C64:E64"/>
    <mergeCell ref="F39:N41"/>
    <mergeCell ref="AL41:AS41"/>
    <mergeCell ref="AL42:AS42"/>
    <mergeCell ref="AL43:AS43"/>
    <mergeCell ref="W64:Y64"/>
    <mergeCell ref="Z64:AB64"/>
    <mergeCell ref="AA61:AT61"/>
    <mergeCell ref="AA62:AT62"/>
    <mergeCell ref="O39:AK41"/>
    <mergeCell ref="AA54:AT54"/>
    <mergeCell ref="AC64:AE64"/>
    <mergeCell ref="AX56:BL56"/>
    <mergeCell ref="O49:V49"/>
    <mergeCell ref="A43:E43"/>
    <mergeCell ref="F43:N43"/>
    <mergeCell ref="O47:V47"/>
    <mergeCell ref="AX62:BL62"/>
    <mergeCell ref="F64:G64"/>
    <mergeCell ref="H64:V64"/>
  </mergeCells>
  <hyperlinks>
    <hyperlink ref="DL59" r:id="rId1"/>
  </hyperlinks>
  <pageMargins left="0.59055118110236227" right="0.51181102362204722" top="0.78740157480314965" bottom="0.31496062992125984" header="0.19685039370078741" footer="0.19685039370078741"/>
  <pageSetup paperSize="9" firstPageNumber="2" fitToHeight="0" orientation="landscape" useFirstPageNumber="1" r:id="rId2"/>
  <headerFooter alignWithMargins="0"/>
  <rowBreaks count="1" manualBreakCount="1">
    <brk id="26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стр.2_3</vt:lpstr>
      <vt:lpstr>стр.2_3!Область_печати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Пащенко Иван Евгеньевич</dc:creator>
  <cp:lastModifiedBy>Пащенко Иван Евгеньевич</cp:lastModifiedBy>
  <dcterms:created xsi:type="dcterms:W3CDTF">2026-10-27T06:49:50Z</dcterms:created>
  <dcterms:modified xsi:type="dcterms:W3CDTF">2026-10-27T15:10:25Z</dcterms:modified>
</cp:coreProperties>
</file>